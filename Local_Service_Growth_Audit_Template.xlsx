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take Scorecard" sheetId="1" state="visible" r:id="rId3"/>
    <sheet name="2. Keyword Budget Calc" sheetId="2" state="visible" r:id="rId4"/>
    <sheet name="3. 90-Day Action Plan" sheetId="3" state="visible" r:id="rId5"/>
    <sheet name="4. Monthly Tracker" sheetId="4" state="visible" r:id="rId6"/>
    <sheet name="5. Customer Avata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<sst xmlns="http://schemas.openxmlformats.org/spreadsheetml/2006/main" count="264" uniqueCount="244">
  <si>
    <t xml:space="preserve">LOCAL SERVICE BUSINESS — AD-READINESS AUDIT</t>
  </si>
  <si>
    <t xml:space="preserve">Score each item 0–5. Total score determines if the business is ready to run paid ads.</t>
  </si>
  <si>
    <t xml:space="preserve">Client Name:</t>
  </si>
  <si>
    <t xml:space="preserve">Karl Brink Tischlereibetrieb GmbH</t>
  </si>
  <si>
    <t xml:space="preserve">Date:</t>
  </si>
  <si>
    <t xml:space="preserve">Website:</t>
  </si>
  <si>
    <t xml:space="preserve">tischlerei-brink.de</t>
  </si>
  <si>
    <t xml:space="preserve">Consultant:</t>
  </si>
  <si>
    <t xml:space="preserve">#</t>
  </si>
  <si>
    <t xml:space="preserve">Audit Question</t>
  </si>
  <si>
    <t xml:space="preserve">Score (0-5)</t>
  </si>
  <si>
    <t xml:space="preserve">Status</t>
  </si>
  <si>
    <t xml:space="preserve">Notes / Action Required</t>
  </si>
  <si>
    <t xml:space="preserve">BRAND &amp; POSITIONING</t>
  </si>
  <si>
    <t xml:space="preserve">Clear one-sentence positioning statement on homepage?</t>
  </si>
  <si>
    <t xml:space="preserve">Does the visitor know in 5 seconds what you do and for whom?</t>
  </si>
  <si>
    <t xml:space="preserve">Consistent visual identity (logo, colors, fonts across all touchpoints)?</t>
  </si>
  <si>
    <t xml:space="preserve">Website, Google Business, social media, vehicle wraps, business cards</t>
  </si>
  <si>
    <t xml:space="preserve">Dedicated landing page for primary service?</t>
  </si>
  <si>
    <t xml:space="preserve">Not just homepage — a focused page for the #1 service you want to advertise</t>
  </si>
  <si>
    <t xml:space="preserve">Unique value proposition vs. competitors?</t>
  </si>
  <si>
    <t xml:space="preserve">What makes you different? Price? Speed? Guarantee? Specialization?</t>
  </si>
  <si>
    <t xml:space="preserve">SOCIAL PROOF &amp; TRUST</t>
  </si>
  <si>
    <t xml:space="preserve">Google Business Profile set up and optimized?</t>
  </si>
  <si>
    <t xml:space="preserve">Correct categories, photos, service area, hours, description</t>
  </si>
  <si>
    <t xml:space="preserve">Number of genuine Google reviews (10+ minimum)?</t>
  </si>
  <si>
    <t xml:space="preserve">Real reviews only. Fake reviews = instant disqualification</t>
  </si>
  <si>
    <t xml:space="preserve">Average Google rating 4.5+ stars?</t>
  </si>
  <si>
    <t xml:space="preserve">Below 4.5 makes ads less effective — people check before calling</t>
  </si>
  <si>
    <t xml:space="preserve">Case studies or before/after examples on website?</t>
  </si>
  <si>
    <t xml:space="preserve">Photos, descriptions of actual completed work</t>
  </si>
  <si>
    <t xml:space="preserve">TECHNICAL READINESS</t>
  </si>
  <si>
    <t xml:space="preserve">Google Analytics / Tag Manager installed?</t>
  </si>
  <si>
    <t xml:space="preserve">Can you track who visits and what they do?</t>
  </si>
  <si>
    <t xml:space="preserve">Conversion tracking set up (calls + forms)?</t>
  </si>
  <si>
    <t xml:space="preserve">Without this, you cannot measure ROI on ad spend</t>
  </si>
  <si>
    <t xml:space="preserve">Mobile-optimized website (loads fast, easy to call)?</t>
  </si>
  <si>
    <t xml:space="preserve">70%+ of local service searches are mobile</t>
  </si>
  <si>
    <t xml:space="preserve">Click-to-call button prominently visible?</t>
  </si>
  <si>
    <t xml:space="preserve">For Handwerk: phone calls convert 5-10x better than forms</t>
  </si>
  <si>
    <t xml:space="preserve">OPERATIONAL READINESS</t>
  </si>
  <si>
    <t xml:space="preserve">Can you handle 5-10 additional leads per week?</t>
  </si>
  <si>
    <t xml:space="preserve">No point advertising if you can't serve more customers</t>
  </si>
  <si>
    <t xml:space="preserve">Response time under 2 hours for inquiries?</t>
  </si>
  <si>
    <t xml:space="preserve">Speed to lead = #1 factor in closing local service leads</t>
  </si>
  <si>
    <t xml:space="preserve">Clear pricing or at least price ranges available?</t>
  </si>
  <si>
    <t xml:space="preserve">Transparency builds trust and pre-qualifies leads</t>
  </si>
  <si>
    <t xml:space="preserve">Follow-up system for unconverted leads?</t>
  </si>
  <si>
    <t xml:space="preserve">CRM, spreadsheet, or at minimum a call-back list</t>
  </si>
  <si>
    <t xml:space="preserve">COMPETITIVE POSITION</t>
  </si>
  <si>
    <t xml:space="preserve">Aware of top 3 competitors and their positioning?</t>
  </si>
  <si>
    <t xml:space="preserve">Know who you're bidding against on Google</t>
  </si>
  <si>
    <t xml:space="preserve">Service area clearly defined?</t>
  </si>
  <si>
    <t xml:space="preserve">Geo-targeting in ads needs clear boundaries</t>
  </si>
  <si>
    <t xml:space="preserve">Seasonal demand patterns understood?</t>
  </si>
  <si>
    <t xml:space="preserve">Budget allocation should follow demand curves</t>
  </si>
  <si>
    <t xml:space="preserve">Referral system or repeat customer program in place?</t>
  </si>
  <si>
    <t xml:space="preserve">Cheapest leads come from existing customers</t>
  </si>
  <si>
    <t xml:space="preserve">TOTAL SCORE</t>
  </si>
  <si>
    <t xml:space="preserve">/ 100</t>
  </si>
  <si>
    <t xml:space="preserve">VERDICT</t>
  </si>
  <si>
    <t xml:space="preserve">SCORING GUIDE: 0 = Not done at all | 1 = Attempted but poor | 2 = Basic/incomplete | 3 = Adequate | 4 = Good | 5 = Excellent</t>
  </si>
  <si>
    <t xml:space="preserve">VERDICT THRESHOLDS: 0-39 = Not Ready | 40-69 = Fix Foundation First | 70-100 = Ready for Ads</t>
  </si>
  <si>
    <t xml:space="preserve">KEYWORD BUDGET &amp; ROI CALCULATOR</t>
  </si>
  <si>
    <t xml:space="preserve">GLOBAL ASSUMPTIONS</t>
  </si>
  <si>
    <t xml:space="preserve">Monthly Ad Budget (EUR)</t>
  </si>
  <si>
    <t xml:space="preserve">Landing Page Conversion Rate</t>
  </si>
  <si>
    <t xml:space="preserve">Lead-to-Customer Close Rate</t>
  </si>
  <si>
    <t xml:space="preserve">Average Job Value (EUR)</t>
  </si>
  <si>
    <t xml:space="preserve">KEYWORD ANALYSIS</t>
  </si>
  <si>
    <t xml:space="preserve">Keyword</t>
  </si>
  <si>
    <t xml:space="preserve">Avg CPC (EUR)</t>
  </si>
  <si>
    <t xml:space="preserve">Monthly Searches</t>
  </si>
  <si>
    <t xml:space="preserve">Est. Clicks/Mo</t>
  </si>
  <si>
    <t xml:space="preserve">Est. Leads/Mo</t>
  </si>
  <si>
    <t xml:space="preserve">Est. Customers/Mo</t>
  </si>
  <si>
    <t xml:space="preserve">Est. Revenue/Mo</t>
  </si>
  <si>
    <t xml:space="preserve">Fensterdichtung erneuern Hamburg</t>
  </si>
  <si>
    <t xml:space="preserve">Fenster undicht reparieren Hamburg</t>
  </si>
  <si>
    <t xml:space="preserve">Zugluft Fenster abdichten Hamburg</t>
  </si>
  <si>
    <t xml:space="preserve">Holzfenster Dichtung tauschen</t>
  </si>
  <si>
    <t xml:space="preserve">Tischler Notdienst Hamburg</t>
  </si>
  <si>
    <t xml:space="preserve">Fenster reparieren Hamburg</t>
  </si>
  <si>
    <t xml:space="preserve">Fensterwartung Hamburg</t>
  </si>
  <si>
    <t xml:space="preserve">Repair Care Holzfenster Hamburg</t>
  </si>
  <si>
    <t xml:space="preserve">Sicherheitstechnik Fenster Hamburg</t>
  </si>
  <si>
    <t xml:space="preserve">Dichtungstausch Fenster Kosten</t>
  </si>
  <si>
    <t xml:space="preserve">Fenster Notdienst Hamburg 24h</t>
  </si>
  <si>
    <t xml:space="preserve">Tischlerei Fenster Hamburg</t>
  </si>
  <si>
    <t xml:space="preserve">[Custom Keyword 1]</t>
  </si>
  <si>
    <t xml:space="preserve">[Custom Keyword 2]</t>
  </si>
  <si>
    <t xml:space="preserve">[Custom Keyword 3]</t>
  </si>
  <si>
    <t xml:space="preserve">PORTFOLIO SUMMARY (if full budget on top keyword)</t>
  </si>
  <si>
    <t xml:space="preserve">QUICK ROI SUMMARY</t>
  </si>
  <si>
    <t xml:space="preserve">Monthly Budget</t>
  </si>
  <si>
    <t xml:space="preserve">Best-Case Monthly Revenue (lowest CPC keyword)</t>
  </si>
  <si>
    <t xml:space="preserve">Worst-Case Monthly Revenue (highest CPC keyword)</t>
  </si>
  <si>
    <t xml:space="preserve">Best-Case ROI</t>
  </si>
  <si>
    <t xml:space="preserve">Worst-Case ROI</t>
  </si>
  <si>
    <t xml:space="preserve">90-DAY GROWTH ACTION PLAN</t>
  </si>
  <si>
    <t xml:space="preserve">Prioritized actions based on Intake Scorecard results. Work top-to-bottom.</t>
  </si>
  <si>
    <t xml:space="preserve">Phase</t>
  </si>
  <si>
    <t xml:space="preserve">Action Item</t>
  </si>
  <si>
    <t xml:space="preserve">Details / How-To</t>
  </si>
  <si>
    <t xml:space="preserve">Owner</t>
  </si>
  <si>
    <t xml:space="preserve">Due Date</t>
  </si>
  <si>
    <t xml:space="preserve">MONTH 1</t>
  </si>
  <si>
    <t xml:space="preserve">1</t>
  </si>
  <si>
    <t xml:space="preserve">Remove fake reviews from website</t>
  </si>
  <si>
    <t xml:space="preserve">Replace 137 fake reviews with real ones or remove section entirely. Fake reviews = trust destroyer.</t>
  </si>
  <si>
    <t xml:space="preserve">Set up Google Business Profile</t>
  </si>
  <si>
    <t xml:space="preserve">Correct categories: Tischlerei, Fensterreparatur, Türenreparatur. Add 10+ real work photos. Set service area.</t>
  </si>
  <si>
    <t xml:space="preserve">Collect 10-15 real Google reviews</t>
  </si>
  <si>
    <t xml:space="preserve">Call/text past customers. Send direct review link. Pace: 1-2 per day max. Never incentivize with money.</t>
  </si>
  <si>
    <t xml:space="preserve">Build dedicated Dichtungsaustausch landing page</t>
  </si>
  <si>
    <t xml:space="preserve">Focused page: problem (Zugluft, hohe Heizkosten) → solution (Dichtungstausch) → proof (reviews) → CTA (call now).</t>
  </si>
  <si>
    <t xml:space="preserve">Install Google Analytics + Tag Manager</t>
  </si>
  <si>
    <t xml:space="preserve">Track visitors, page views, form submissions. This is the measurement foundation.</t>
  </si>
  <si>
    <t xml:space="preserve">Set up call tracking</t>
  </si>
  <si>
    <t xml:space="preserve">Use a tracking phone number on the website (e.g., matelso, Call Tracking Metrics). Attribute calls to ads.</t>
  </si>
  <si>
    <t xml:space="preserve">Clarify positioning: pick ONE hero service</t>
  </si>
  <si>
    <t xml:space="preserve">Recommendation: Dichtungsaustausch zur Energieeinsparung. Lead with this everywhere.</t>
  </si>
  <si>
    <t xml:space="preserve">Fix website copy: outcomes, not features</t>
  </si>
  <si>
    <t xml:space="preserve">Change 'Wir bieten Dichtungstausch' → 'Sparen Sie 500€+ Heizkosten — Dichtungstausch in einem Termin'</t>
  </si>
  <si>
    <t xml:space="preserve">MONTH 2</t>
  </si>
  <si>
    <t xml:space="preserve">2</t>
  </si>
  <si>
    <t xml:space="preserve">Launch Google Search Ads campaign</t>
  </si>
  <si>
    <t xml:space="preserve">Start with 10-15 long-tail keywords. Budget €500-800/month. Search only, NO Display.</t>
  </si>
  <si>
    <t xml:space="preserve">Write 3 ad variations per keyword group</t>
  </si>
  <si>
    <t xml:space="preserve">Focus on outcomes: energy savings, cost vs. new windows, 24h response. Include price anchoring.</t>
  </si>
  <si>
    <t xml:space="preserve">Set up conversion tracking in Google Ads</t>
  </si>
  <si>
    <t xml:space="preserve">Link Google Ads to Analytics. Track: phone calls (from tracking number), form submissions, click-to-call.</t>
  </si>
  <si>
    <t xml:space="preserve">Weekly optimization: check keywords</t>
  </si>
  <si>
    <t xml:space="preserve">Every Friday: which keywords got clicks? Which got conversions? Pause underperformers after 50+ clicks with 0 conversions.</t>
  </si>
  <si>
    <t xml:space="preserve">Continue review collection (target: 20+)</t>
  </si>
  <si>
    <t xml:space="preserve">Keep texting customers after completed jobs. Ask for photos they can include in reviews.</t>
  </si>
  <si>
    <t xml:space="preserve">Create retargeting audience</t>
  </si>
  <si>
    <t xml:space="preserve">Install Google remarketing tag. Build audience of website visitors for Month 3 Display campaign.</t>
  </si>
  <si>
    <t xml:space="preserve">MONTH 3</t>
  </si>
  <si>
    <t xml:space="preserve">3</t>
  </si>
  <si>
    <t xml:space="preserve">Double down on winning keywords</t>
  </si>
  <si>
    <t xml:space="preserve">Increase budget on top 3-5 converting keywords. Kill everything else.</t>
  </si>
  <si>
    <t xml:space="preserve">Launch Display retargeting campaign</t>
  </si>
  <si>
    <t xml:space="preserve">€100-200/month. Show ads to people who visited but didn't convert. Simple banner: brand + phone number.</t>
  </si>
  <si>
    <t xml:space="preserve">Add Notdienst keyword campaign</t>
  </si>
  <si>
    <t xml:space="preserve">Separate campaign for emergency keywords (higher CPC, higher close rate). Ensure 24h phone availability.</t>
  </si>
  <si>
    <t xml:space="preserve">First ROI review: full funnel analysis</t>
  </si>
  <si>
    <t xml:space="preserve">Ad spend → Clicks → Leads → Customers → Revenue. Calculate true cost-per-acquisition.</t>
  </si>
  <si>
    <t xml:space="preserve">Target 25+ Google reviews</t>
  </si>
  <si>
    <t xml:space="preserve">Continue steady pace. Reviews compound — each new one makes ads more effective.</t>
  </si>
  <si>
    <t xml:space="preserve">Outreach to Hausverwaltungen (B2B)</t>
  </si>
  <si>
    <t xml:space="preserve">Identify 10 property management companies in Hamburg. Direct outreach with a maintenance service offer.</t>
  </si>
  <si>
    <t xml:space="preserve">Build referral program</t>
  </si>
  <si>
    <t xml:space="preserve">Ask satisfied customers: 'Know someone with the same problem?' Offer free Sicherheitscheck as referral incentive.</t>
  </si>
  <si>
    <t xml:space="preserve">MONTHLY PERFORMANCE TRACKER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</si>
  <si>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</si>
  <si>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</si>
  <si>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</si>
  <si>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</si>
  <si>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</si>
  <si>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</si>
  <si>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</si>
  <si>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</si>
  <si>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</si>
  <si>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</si>
  <si>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</si>
  <si>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</si>
  <si>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</si>
  <si>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Ad Spend (EUR)</t>
  </si>
  <si>
    <t xml:space="preserve">Impressions</t>
  </si>
  <si>
    <t xml:space="preserve">Clicks</t>
  </si>
  <si>
    <t xml:space="preserve">Phone Calls (from ads)</t>
  </si>
  <si>
    <t xml:space="preserve">Form Submissions</t>
  </si>
  <si>
    <t xml:space="preserve">Total Leads</t>
  </si>
  <si>
    <t xml:space="preserve">Customers Won</t>
  </si>
  <si>
    <t xml:space="preserve">Revenue from Ad Customers (EUR)</t>
  </si>
  <si>
    <t xml:space="preserve">Google Reviews (cumulative)</t>
  </si>
  <si>
    <t xml:space="preserve">Website Visitors (total)</t>
  </si>
  <si>
    <t xml:space="preserve">CALCULATED METRICS (auto-filled)</t>
  </si>
  <si>
    <t xml:space="preserve">Click-Through Rate (CTR)</t>
  </si>
  <si>
    <t xml:space="preserve">Cost per Click (CPC)</t>
  </si>
  <si>
    <t xml:space="preserve">Cost per Lead (CPL)</t>
  </si>
  <si>
    <t xml:space="preserve">Cost per Customer (CAC)</t>
  </si>
  <si>
    <t xml:space="preserve">Conversion Rate (Click→Lead)</t>
  </si>
  <si>
    <t xml:space="preserve">Close Rate (Lead→Customer)</t>
  </si>
  <si>
    <t xml:space="preserve">Return on Ad Spend (ROAS)</t>
  </si>
  <si>
    <t xml:space="preserve">ROI</t>
  </si>
  <si>
    <t xml:space="preserve">CUSTOMER AVATAR PROFILES</t>
  </si>
  <si>
    <t xml:space="preserve">Attribute</t>
  </si>
  <si>
    <t xml:space="preserve">"Worried Homeowner Helga"</t>
  </si>
  <si>
    <t xml:space="preserve">"Emergency Markus"</t>
  </si>
  <si>
    <t xml:space="preserve">"Property Manager Thomas"</t>
  </si>
  <si>
    <t xml:space="preserve">Revenue Share</t>
  </si>
  <si>
    <t xml:space="preserve">60% of revenue</t>
  </si>
  <si>
    <t xml:space="preserve">20% of revenue</t>
  </si>
  <si>
    <t xml:space="preserve">20% (recurring)</t>
  </si>
  <si>
    <t xml:space="preserve">Age Range</t>
  </si>
  <si>
    <t xml:space="preserve">45–70</t>
  </si>
  <si>
    <t xml:space="preserve">30–55</t>
  </si>
  <si>
    <t xml:space="preserve">35–60</t>
  </si>
  <si>
    <t xml:space="preserve">Property Type</t>
  </si>
  <si>
    <t xml:space="preserve">Eigentumswohnung or Einfamilienhaus</t>
  </si>
  <si>
    <t xml:space="preserve">Any — house or apartment</t>
  </si>
  <si>
    <t xml:space="preserve">Manages 5–50+ units (Hausverwaltung)</t>
  </si>
  <si>
    <t xml:space="preserve">Location</t>
  </si>
  <si>
    <t xml:space="preserve">Hamburg-Nord, Wandsbek, Harburg, Bergedorf</t>
  </si>
  <si>
    <t xml:space="preserve">Hamburg metro area + 30km radius</t>
  </si>
  <si>
    <t xml:space="preserve">Hamburg + Norddeutschland</t>
  </si>
  <si>
    <t xml:space="preserve">Window Type</t>
  </si>
  <si>
    <t xml:space="preserve">Holzfenster from 80s/90s</t>
  </si>
  <si>
    <t xml:space="preserve">Any — mechanism failure, storm damage, break-in damage</t>
  </si>
  <si>
    <t xml:space="preserve">Mixed portfolio — ongoing maintenance needs</t>
  </si>
  <si>
    <t xml:space="preserve">Pain Points</t>
  </si>
  <si>
    <t xml:space="preserve">Drafts in winter, rising heating costs, windows hard to open/close</t>
  </si>
  <si>
    <t xml:space="preserve">Window/door won't close or lock, security concern, urgent</t>
  </si>
  <si>
    <t xml:space="preserve">Needs reliable partner for recurring window/door issues across properties</t>
  </si>
  <si>
    <t xml:space="preserve">Emotional Driver</t>
  </si>
  <si>
    <t xml:space="preserve">Worried about energy costs, wants to preserve property value without major renovation</t>
  </si>
  <si>
    <t xml:space="preserve">Fear (security), frustration (can't wait days), time pressure</t>
  </si>
  <si>
    <t xml:space="preserve">Efficiency, reliability, one-call-solves-all, less vendor management</t>
  </si>
  <si>
    <t xml:space="preserve">Search Behavior</t>
  </si>
  <si>
    <t xml:space="preserve">Google: 'Fenster undicht was tun', 'Fensterdichtung erneuern Hamburg', 'Zugluft Fenster abdichten'</t>
  </si>
  <si>
    <t xml:space="preserve">Google at 9pm: 'Tischler Notdienst Hamburg', 'Fenster Notdienst 24h Hamburg'</t>
  </si>
  <si>
    <t xml:space="preserve">Does NOT search Google — relies on network, referrals, existing relationships</t>
  </si>
  <si>
    <t xml:space="preserve">Preferred Contact</t>
  </si>
  <si>
    <t xml:space="preserve">Phone call (does NOT fill out web forms)</t>
  </si>
  <si>
    <t xml:space="preserve">Phone call — immediate. Will call the FIRST number that answers.</t>
  </si>
  <si>
    <t xml:space="preserve">Email first, then phone for ongoing relationship</t>
  </si>
  <si>
    <t xml:space="preserve">Decision Factors</t>
  </si>
  <si>
    <t xml:space="preserve">Trust, fair pricing, Meisterbetrieb, real Google reviews</t>
  </si>
  <si>
    <t xml:space="preserve">Speed &gt; Price. First responder wins the job.</t>
  </si>
  <si>
    <t xml:space="preserve">Reliability, invoicing simplicity, volume pricing, Komplettservice</t>
  </si>
  <si>
    <t xml:space="preserve">Budget Sensitivity</t>
  </si>
  <si>
    <t xml:space="preserve">Medium — wants value, compares 2-3 quotes</t>
  </si>
  <si>
    <t xml:space="preserve">Low — willing to pay premium for immediate service</t>
  </si>
  <si>
    <t xml:space="preserve">Low per-job — values consistency over cheapest price</t>
  </si>
  <si>
    <t xml:space="preserve">Best Ad Angle</t>
  </si>
  <si>
    <t xml:space="preserve">"Sparen Sie 500€+ Heizkosten — Dichtungstausch statt teurer Fenstertausch"</t>
  </si>
  <si>
    <t xml:space="preserve">"24h Fenster-Notdienst Hamburg — Rückmeldung garantiert innerhalb von 24 Stunden"</t>
  </si>
  <si>
    <t xml:space="preserve">NOT ads — B2B direct outreach. Offer: 'Kostenloser Sicherheitscheck für alle Ihre Objekte'</t>
  </si>
  <si>
    <t xml:space="preserve">Recommended Keywords</t>
  </si>
  <si>
    <t xml:space="preserve">Fensterdichtung erneuern, Zugluft abdichten, Fenster undicht reparieren</t>
  </si>
  <si>
    <t xml:space="preserve">Tischler Notdienst Hamburg, Fenster Notdienst 24h, Tür klemmt Notdienst</t>
  </si>
  <si>
    <t xml:space="preserve">N/A — win through outreach, not search ads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</si>
</sst>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%"/>
    <numFmt numFmtId="167" formatCode="#,##0.00&quot; €&quot;"/>
    <numFmt numFmtId="168" formatCode="0.0%"/>
    <numFmt numFmtId="169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3366C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3366CC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38761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B2A4A"/>
        <bgColor rgb="FF333333"/>
      </patternFill>
    </fill>
    <fill>
      <patternFill patternType="solid">
        <fgColor rgb="FF3366CC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38761D"/>
        <bgColor rgb="FF3399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9900FF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CC"/>
      <rgbColor rgb="FF33CCCC"/>
      <rgbColor rgb="FF99CC00"/>
      <rgbColor rgb="FFFFCC00"/>
      <rgbColor rgb="FFFF9900"/>
      <rgbColor rgb="FFFF6600"/>
      <rgbColor rgb="FF666666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66CC"/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5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5"/>
    </row>
    <row r="5" customFormat="false" ht="15" hidden="false" customHeight="false" outlineLevel="0" collapsed="false">
      <c r="A5" s="3" t="s">
        <v>5</v>
      </c>
      <c r="B5" s="4" t="s">
        <v>6</v>
      </c>
      <c r="C5" s="3" t="s">
        <v>7</v>
      </c>
      <c r="D5" s="5"/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customFormat="false" ht="24.75" hidden="false" customHeight="true" outlineLevel="0" collapsed="false">
      <c r="A8" s="7" t="s">
        <v>13</v>
      </c>
      <c r="B8" s="7"/>
      <c r="C8" s="7"/>
      <c r="D8" s="7"/>
      <c r="E8" s="7"/>
    </row>
    <row r="9" customFormat="false" ht="34.5" hidden="false" customHeight="true" outlineLevel="0" collapsed="false">
      <c r="A9" s="8" t="n">
        <v>1</v>
      </c>
      <c r="B9" s="9" t="s">
        <v>14</v>
      </c>
      <c r="C9" s="10"/>
      <c r="D9" s="11" t="str">
        <f aca="false">IF(C9="","",(IF(C9&lt;=1,"CRITICAL",IF(C9&lt;=3,"NEEDS WORK","GOOD"))))</f>
        <v/>
      </c>
      <c r="E9" s="12" t="s">
        <v>15</v>
      </c>
    </row>
    <row r="10" customFormat="false" ht="34.5" hidden="false" customHeight="true" outlineLevel="0" collapsed="false">
      <c r="A10" s="8" t="n">
        <v>2</v>
      </c>
      <c r="B10" s="9" t="s">
        <v>16</v>
      </c>
      <c r="C10" s="10"/>
      <c r="D10" s="11" t="str">
        <f aca="false">IF(C10="","",(IF(C10&lt;=1,"CRITICAL",IF(C10&lt;=3,"NEEDS WORK","GOOD"))))</f>
        <v/>
      </c>
      <c r="E10" s="12" t="s">
        <v>17</v>
      </c>
    </row>
    <row r="11" customFormat="false" ht="34.5" hidden="false" customHeight="true" outlineLevel="0" collapsed="false">
      <c r="A11" s="8" t="n">
        <v>3</v>
      </c>
      <c r="B11" s="9" t="s">
        <v>18</v>
      </c>
      <c r="C11" s="10"/>
      <c r="D11" s="11" t="str">
        <f aca="false">IF(C11="","",(IF(C11&lt;=1,"CRITICAL",IF(C11&lt;=3,"NEEDS WORK","GOOD"))))</f>
        <v/>
      </c>
      <c r="E11" s="12" t="s">
        <v>19</v>
      </c>
    </row>
    <row r="12" customFormat="false" ht="34.5" hidden="false" customHeight="true" outlineLevel="0" collapsed="false">
      <c r="A12" s="8" t="n">
        <v>4</v>
      </c>
      <c r="B12" s="9" t="s">
        <v>20</v>
      </c>
      <c r="C12" s="10"/>
      <c r="D12" s="11" t="str">
        <f aca="false">IF(C12="","",(IF(C12&lt;=1,"CRITICAL",IF(C12&lt;=3,"NEEDS WORK","GOOD"))))</f>
        <v/>
      </c>
      <c r="E12" s="12" t="s">
        <v>21</v>
      </c>
    </row>
    <row r="13" customFormat="false" ht="24.75" hidden="false" customHeight="true" outlineLevel="0" collapsed="false">
      <c r="A13" s="7" t="s">
        <v>22</v>
      </c>
      <c r="B13" s="7"/>
      <c r="C13" s="7"/>
      <c r="D13" s="7"/>
      <c r="E13" s="7"/>
    </row>
    <row r="14" customFormat="false" ht="34.5" hidden="false" customHeight="true" outlineLevel="0" collapsed="false">
      <c r="A14" s="8" t="n">
        <v>5</v>
      </c>
      <c r="B14" s="9" t="s">
        <v>23</v>
      </c>
      <c r="C14" s="10"/>
      <c r="D14" s="11" t="str">
        <f aca="false">IF(C14="","",(IF(C14&lt;=1,"CRITICAL",IF(C14&lt;=3,"NEEDS WORK","GOOD"))))</f>
        <v/>
      </c>
      <c r="E14" s="12" t="s">
        <v>24</v>
      </c>
    </row>
    <row r="15" customFormat="false" ht="34.5" hidden="false" customHeight="true" outlineLevel="0" collapsed="false">
      <c r="A15" s="8" t="n">
        <v>6</v>
      </c>
      <c r="B15" s="9" t="s">
        <v>25</v>
      </c>
      <c r="C15" s="10"/>
      <c r="D15" s="11" t="str">
        <f aca="false">IF(C15="","",(IF(C15&lt;=1,"CRITICAL",IF(C15&lt;=3,"NEEDS WORK","GOOD"))))</f>
        <v/>
      </c>
      <c r="E15" s="12" t="s">
        <v>26</v>
      </c>
    </row>
    <row r="16" customFormat="false" ht="34.5" hidden="false" customHeight="true" outlineLevel="0" collapsed="false">
      <c r="A16" s="8" t="n">
        <v>7</v>
      </c>
      <c r="B16" s="9" t="s">
        <v>27</v>
      </c>
      <c r="C16" s="10"/>
      <c r="D16" s="11" t="str">
        <f aca="false">IF(C16="","",(IF(C16&lt;=1,"CRITICAL",IF(C16&lt;=3,"NEEDS WORK","GOOD"))))</f>
        <v/>
      </c>
      <c r="E16" s="12" t="s">
        <v>28</v>
      </c>
    </row>
    <row r="17" customFormat="false" ht="34.5" hidden="false" customHeight="true" outlineLevel="0" collapsed="false">
      <c r="A17" s="8" t="n">
        <v>8</v>
      </c>
      <c r="B17" s="9" t="s">
        <v>29</v>
      </c>
      <c r="C17" s="10"/>
      <c r="D17" s="11" t="str">
        <f aca="false">IF(C17="","",(IF(C17&lt;=1,"CRITICAL",IF(C17&lt;=3,"NEEDS WORK","GOOD"))))</f>
        <v/>
      </c>
      <c r="E17" s="12" t="s">
        <v>30</v>
      </c>
    </row>
    <row r="18" customFormat="false" ht="24.75" hidden="false" customHeight="true" outlineLevel="0" collapsed="false">
      <c r="A18" s="7" t="s">
        <v>31</v>
      </c>
      <c r="B18" s="7"/>
      <c r="C18" s="7"/>
      <c r="D18" s="7"/>
      <c r="E18" s="7"/>
    </row>
    <row r="19" customFormat="false" ht="34.5" hidden="false" customHeight="true" outlineLevel="0" collapsed="false">
      <c r="A19" s="8" t="n">
        <v>9</v>
      </c>
      <c r="B19" s="9" t="s">
        <v>32</v>
      </c>
      <c r="C19" s="10"/>
      <c r="D19" s="11" t="str">
        <f aca="false">IF(C19="","",(IF(C19&lt;=1,"CRITICAL",IF(C19&lt;=3,"NEEDS WORK","GOOD"))))</f>
        <v/>
      </c>
      <c r="E19" s="12" t="s">
        <v>33</v>
      </c>
    </row>
    <row r="20" customFormat="false" ht="34.5" hidden="false" customHeight="true" outlineLevel="0" collapsed="false">
      <c r="A20" s="8" t="n">
        <v>10</v>
      </c>
      <c r="B20" s="9" t="s">
        <v>34</v>
      </c>
      <c r="C20" s="10"/>
      <c r="D20" s="11" t="str">
        <f aca="false">IF(C20="","",(IF(C20&lt;=1,"CRITICAL",IF(C20&lt;=3,"NEEDS WORK","GOOD"))))</f>
        <v/>
      </c>
      <c r="E20" s="12" t="s">
        <v>35</v>
      </c>
    </row>
    <row r="21" customFormat="false" ht="34.5" hidden="false" customHeight="true" outlineLevel="0" collapsed="false">
      <c r="A21" s="8" t="n">
        <v>11</v>
      </c>
      <c r="B21" s="9" t="s">
        <v>36</v>
      </c>
      <c r="C21" s="10"/>
      <c r="D21" s="11" t="str">
        <f aca="false">IF(C21="","",(IF(C21&lt;=1,"CRITICAL",IF(C21&lt;=3,"NEEDS WORK","GOOD"))))</f>
        <v/>
      </c>
      <c r="E21" s="12" t="s">
        <v>37</v>
      </c>
    </row>
    <row r="22" customFormat="false" ht="34.5" hidden="false" customHeight="true" outlineLevel="0" collapsed="false">
      <c r="A22" s="8" t="n">
        <v>12</v>
      </c>
      <c r="B22" s="9" t="s">
        <v>38</v>
      </c>
      <c r="C22" s="10"/>
      <c r="D22" s="11" t="str">
        <f aca="false">IF(C22="","",(IF(C22&lt;=1,"CRITICAL",IF(C22&lt;=3,"NEEDS WORK","GOOD"))))</f>
        <v/>
      </c>
      <c r="E22" s="12" t="s">
        <v>39</v>
      </c>
    </row>
    <row r="23" customFormat="false" ht="24.75" hidden="false" customHeight="true" outlineLevel="0" collapsed="false">
      <c r="A23" s="7" t="s">
        <v>40</v>
      </c>
      <c r="B23" s="7"/>
      <c r="C23" s="7"/>
      <c r="D23" s="7"/>
      <c r="E23" s="7"/>
    </row>
    <row r="24" customFormat="false" ht="34.5" hidden="false" customHeight="true" outlineLevel="0" collapsed="false">
      <c r="A24" s="8" t="n">
        <v>13</v>
      </c>
      <c r="B24" s="9" t="s">
        <v>41</v>
      </c>
      <c r="C24" s="10"/>
      <c r="D24" s="11" t="str">
        <f aca="false">IF(C24="","",(IF(C24&lt;=1,"CRITICAL",IF(C24&lt;=3,"NEEDS WORK","GOOD"))))</f>
        <v/>
      </c>
      <c r="E24" s="12" t="s">
        <v>42</v>
      </c>
    </row>
    <row r="25" customFormat="false" ht="34.5" hidden="false" customHeight="true" outlineLevel="0" collapsed="false">
      <c r="A25" s="8" t="n">
        <v>14</v>
      </c>
      <c r="B25" s="9" t="s">
        <v>43</v>
      </c>
      <c r="C25" s="10"/>
      <c r="D25" s="11" t="str">
        <f aca="false">IF(C25="","",(IF(C25&lt;=1,"CRITICAL",IF(C25&lt;=3,"NEEDS WORK","GOOD"))))</f>
        <v/>
      </c>
      <c r="E25" s="12" t="s">
        <v>44</v>
      </c>
    </row>
    <row r="26" customFormat="false" ht="34.5" hidden="false" customHeight="true" outlineLevel="0" collapsed="false">
      <c r="A26" s="8" t="n">
        <v>15</v>
      </c>
      <c r="B26" s="9" t="s">
        <v>45</v>
      </c>
      <c r="C26" s="10"/>
      <c r="D26" s="11" t="str">
        <f aca="false">IF(C26="","",(IF(C26&lt;=1,"CRITICAL",IF(C26&lt;=3,"NEEDS WORK","GOOD"))))</f>
        <v/>
      </c>
      <c r="E26" s="12" t="s">
        <v>46</v>
      </c>
    </row>
    <row r="27" customFormat="false" ht="34.5" hidden="false" customHeight="true" outlineLevel="0" collapsed="false">
      <c r="A27" s="8" t="n">
        <v>16</v>
      </c>
      <c r="B27" s="9" t="s">
        <v>47</v>
      </c>
      <c r="C27" s="10"/>
      <c r="D27" s="11" t="str">
        <f aca="false">IF(C27="","",(IF(C27&lt;=1,"CRITICAL",IF(C27&lt;=3,"NEEDS WORK","GOOD"))))</f>
        <v/>
      </c>
      <c r="E27" s="12" t="s">
        <v>48</v>
      </c>
    </row>
    <row r="28" customFormat="false" ht="24.75" hidden="false" customHeight="true" outlineLevel="0" collapsed="false">
      <c r="A28" s="7" t="s">
        <v>49</v>
      </c>
      <c r="B28" s="7"/>
      <c r="C28" s="7"/>
      <c r="D28" s="7"/>
      <c r="E28" s="7"/>
    </row>
    <row r="29" customFormat="false" ht="34.5" hidden="false" customHeight="true" outlineLevel="0" collapsed="false">
      <c r="A29" s="8" t="n">
        <v>17</v>
      </c>
      <c r="B29" s="9" t="s">
        <v>50</v>
      </c>
      <c r="C29" s="10"/>
      <c r="D29" s="11" t="str">
        <f aca="false">IF(C29="","",(IF(C29&lt;=1,"CRITICAL",IF(C29&lt;=3,"NEEDS WORK","GOOD"))))</f>
        <v/>
      </c>
      <c r="E29" s="12" t="s">
        <v>51</v>
      </c>
    </row>
    <row r="30" customFormat="false" ht="34.5" hidden="false" customHeight="true" outlineLevel="0" collapsed="false">
      <c r="A30" s="8" t="n">
        <v>18</v>
      </c>
      <c r="B30" s="9" t="s">
        <v>52</v>
      </c>
      <c r="C30" s="10"/>
      <c r="D30" s="11" t="str">
        <f aca="false">IF(C30="","",(IF(C30&lt;=1,"CRITICAL",IF(C30&lt;=3,"NEEDS WORK","GOOD"))))</f>
        <v/>
      </c>
      <c r="E30" s="12" t="s">
        <v>53</v>
      </c>
    </row>
    <row r="31" customFormat="false" ht="34.5" hidden="false" customHeight="true" outlineLevel="0" collapsed="false">
      <c r="A31" s="8" t="n">
        <v>19</v>
      </c>
      <c r="B31" s="9" t="s">
        <v>54</v>
      </c>
      <c r="C31" s="10"/>
      <c r="D31" s="11" t="str">
        <f aca="false">IF(C31="","",(IF(C31&lt;=1,"CRITICAL",IF(C31&lt;=3,"NEEDS WORK","GOOD"))))</f>
        <v/>
      </c>
      <c r="E31" s="12" t="s">
        <v>55</v>
      </c>
    </row>
    <row r="32" customFormat="false" ht="34.5" hidden="false" customHeight="true" outlineLevel="0" collapsed="false">
      <c r="A32" s="8" t="n">
        <v>20</v>
      </c>
      <c r="B32" s="9" t="s">
        <v>56</v>
      </c>
      <c r="C32" s="10"/>
      <c r="D32" s="11" t="str">
        <f aca="false">IF(C32="","",(IF(C32&lt;=1,"CRITICAL",IF(C32&lt;=3,"NEEDS WORK","GOOD"))))</f>
        <v/>
      </c>
      <c r="E32" s="12" t="s">
        <v>57</v>
      </c>
    </row>
    <row r="34" customFormat="false" ht="30" hidden="false" customHeight="true" outlineLevel="0" collapsed="false">
      <c r="A34" s="13" t="s">
        <v>58</v>
      </c>
      <c r="B34" s="13"/>
      <c r="C34" s="14" t="n">
        <f aca="false">IF(C9="",0,C9)+IF(C10="",0,C10)+IF(C11="",0,C11)+IF(C12="",0,C12)+IF(C14="",0,C14)+IF(C15="",0,C15)+IF(C16="",0,C16)+IF(C17="",0,C17)+IF(C19="",0,C19)+IF(C20="",0,C20)+IF(C21="",0,C21)+IF(C22="",0,C22)+IF(C24="",0,C24)+IF(C25="",0,C25)+IF(C26="",0,C26)+IF(C27="",0,C27)+IF(C29="",0,C29)+IF(C30="",0,C30)+IF(C31="",0,C31)+IF(C32="",0,C32)</f>
        <v>0</v>
      </c>
      <c r="D34" s="3" t="s">
        <v>59</v>
      </c>
    </row>
    <row r="35" customFormat="false" ht="30" hidden="false" customHeight="true" outlineLevel="0" collapsed="false">
      <c r="A35" s="3" t="s">
        <v>60</v>
      </c>
      <c r="C35" s="15" t="str">
        <f aca="false">IF(C34&gt;=70,"READY FOR ADS",IF(C34&gt;=40,"FIX FOUNDATION FIRST","NOT READY — MAJOR GAPS"))</f>
        <v>NOT READY — MAJOR GAPS</v>
      </c>
      <c r="D35" s="15"/>
      <c r="E35" s="15"/>
    </row>
    <row r="37" customFormat="false" ht="15" hidden="false" customHeight="false" outlineLevel="0" collapsed="false">
      <c r="A37" s="16" t="s">
        <v>61</v>
      </c>
      <c r="B37" s="16"/>
      <c r="C37" s="16"/>
      <c r="D37" s="16"/>
      <c r="E37" s="16"/>
    </row>
    <row r="38" customFormat="false" ht="15" hidden="false" customHeight="false" outlineLevel="0" collapsed="false">
      <c r="A38" s="16" t="s">
        <v>62</v>
      </c>
      <c r="B38" s="16"/>
      <c r="C38" s="16"/>
      <c r="D38" s="16"/>
      <c r="E38" s="16"/>
    </row>
  </sheetData>
  <mergeCells count="11">
    <mergeCell ref="A1:E1"/>
    <mergeCell ref="A2:E2"/>
    <mergeCell ref="A8:E8"/>
    <mergeCell ref="A13:E13"/>
    <mergeCell ref="A18:E18"/>
    <mergeCell ref="A23:E23"/>
    <mergeCell ref="A28:E28"/>
    <mergeCell ref="A34:B34"/>
    <mergeCell ref="C35:E35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6" min="3" style="0" width="18"/>
    <col collapsed="false" customWidth="true" hidden="false" outlineLevel="0" max="7" min="7" style="0" width="20"/>
  </cols>
  <sheetData>
    <row r="1" customFormat="false" ht="34.5" hidden="false" customHeight="true" outlineLevel="0" collapsed="false">
      <c r="A1" s="17" t="s">
        <v>63</v>
      </c>
      <c r="B1" s="17"/>
      <c r="C1" s="17"/>
      <c r="D1" s="17"/>
      <c r="E1" s="17"/>
      <c r="F1" s="17"/>
      <c r="G1" s="17"/>
    </row>
    <row r="3" customFormat="false" ht="15" hidden="false" customHeight="false" outlineLevel="0" collapsed="false">
      <c r="A3" s="18" t="s">
        <v>64</v>
      </c>
    </row>
    <row r="4" customFormat="false" ht="15" hidden="false" customHeight="false" outlineLevel="0" collapsed="false">
      <c r="A4" s="19" t="s">
        <v>65</v>
      </c>
      <c r="B4" s="20" t="n">
        <v>600</v>
      </c>
    </row>
    <row r="5" customFormat="false" ht="15" hidden="false" customHeight="false" outlineLevel="0" collapsed="false">
      <c r="A5" s="19" t="s">
        <v>66</v>
      </c>
      <c r="B5" s="21" t="n">
        <v>0.1</v>
      </c>
    </row>
    <row r="6" customFormat="false" ht="15" hidden="false" customHeight="false" outlineLevel="0" collapsed="false">
      <c r="A6" s="19" t="s">
        <v>67</v>
      </c>
      <c r="B6" s="21" t="n">
        <v>0.35</v>
      </c>
    </row>
    <row r="7" customFormat="false" ht="15" hidden="false" customHeight="false" outlineLevel="0" collapsed="false">
      <c r="A7" s="19" t="s">
        <v>68</v>
      </c>
      <c r="B7" s="20" t="n">
        <v>500</v>
      </c>
    </row>
    <row r="9" customFormat="false" ht="15" hidden="false" customHeight="false" outlineLevel="0" collapsed="false">
      <c r="A9" s="18" t="s">
        <v>69</v>
      </c>
    </row>
    <row r="10" customFormat="false" ht="15" hidden="false" customHeight="false" outlineLevel="0" collapsed="false">
      <c r="A10" s="6" t="s">
        <v>70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6" t="s">
        <v>76</v>
      </c>
    </row>
    <row r="11" customFormat="false" ht="15" hidden="false" customHeight="false" outlineLevel="0" collapsed="false">
      <c r="A11" s="9" t="s">
        <v>77</v>
      </c>
      <c r="B11" s="22" t="n">
        <v>3.5</v>
      </c>
      <c r="C11" s="10" t="n">
        <v>210</v>
      </c>
      <c r="D11" s="8" t="n">
        <f aca="false">IF(B11="","-",ROUND(B$4/B11,0))</f>
        <v>171</v>
      </c>
      <c r="E11" s="8" t="n">
        <f aca="false">IF(B11="","-",ROUND(D11*B$5,1))</f>
        <v>17.1</v>
      </c>
      <c r="F11" s="8" t="n">
        <f aca="false">IF(B11="","-",ROUND(E11*B$6,1))</f>
        <v>6</v>
      </c>
      <c r="G11" s="23" t="n">
        <f aca="false">IF(B11="","-",ROUND(F11*B$7,0))</f>
        <v>3000</v>
      </c>
    </row>
    <row r="12" customFormat="false" ht="15" hidden="false" customHeight="false" outlineLevel="0" collapsed="false">
      <c r="A12" s="9" t="s">
        <v>78</v>
      </c>
      <c r="B12" s="22" t="n">
        <v>4.2</v>
      </c>
      <c r="C12" s="10" t="n">
        <v>170</v>
      </c>
      <c r="D12" s="8" t="n">
        <f aca="false">IF(B12="","-",ROUND(B$4/B12,0))</f>
        <v>143</v>
      </c>
      <c r="E12" s="8" t="n">
        <f aca="false">IF(B12="","-",ROUND(D12*B$5,1))</f>
        <v>14.3</v>
      </c>
      <c r="F12" s="8" t="n">
        <f aca="false">IF(B12="","-",ROUND(E12*B$6,1))</f>
        <v>5</v>
      </c>
      <c r="G12" s="23" t="n">
        <f aca="false">IF(B12="","-",ROUND(F12*B$7,0))</f>
        <v>2500</v>
      </c>
    </row>
    <row r="13" customFormat="false" ht="15" hidden="false" customHeight="false" outlineLevel="0" collapsed="false">
      <c r="A13" s="9" t="s">
        <v>79</v>
      </c>
      <c r="B13" s="22" t="n">
        <v>2.8</v>
      </c>
      <c r="C13" s="10" t="n">
        <v>140</v>
      </c>
      <c r="D13" s="8" t="n">
        <f aca="false">IF(B13="","-",ROUND(B$4/B13,0))</f>
        <v>214</v>
      </c>
      <c r="E13" s="8" t="n">
        <f aca="false">IF(B13="","-",ROUND(D13*B$5,1))</f>
        <v>21.4</v>
      </c>
      <c r="F13" s="8" t="n">
        <f aca="false">IF(B13="","-",ROUND(E13*B$6,1))</f>
        <v>7.5</v>
      </c>
      <c r="G13" s="23" t="n">
        <f aca="false">IF(B13="","-",ROUND(F13*B$7,0))</f>
        <v>3750</v>
      </c>
    </row>
    <row r="14" customFormat="false" ht="15" hidden="false" customHeight="false" outlineLevel="0" collapsed="false">
      <c r="A14" s="9" t="s">
        <v>80</v>
      </c>
      <c r="B14" s="22" t="n">
        <v>3</v>
      </c>
      <c r="C14" s="10" t="n">
        <v>120</v>
      </c>
      <c r="D14" s="8" t="n">
        <f aca="false">IF(B14="","-",ROUND(B$4/B14,0))</f>
        <v>200</v>
      </c>
      <c r="E14" s="8" t="n">
        <f aca="false">IF(B14="","-",ROUND(D14*B$5,1))</f>
        <v>20</v>
      </c>
      <c r="F14" s="8" t="n">
        <f aca="false">IF(B14="","-",ROUND(E14*B$6,1))</f>
        <v>7</v>
      </c>
      <c r="G14" s="23" t="n">
        <f aca="false">IF(B14="","-",ROUND(F14*B$7,0))</f>
        <v>3500</v>
      </c>
    </row>
    <row r="15" customFormat="false" ht="15" hidden="false" customHeight="false" outlineLevel="0" collapsed="false">
      <c r="A15" s="9" t="s">
        <v>81</v>
      </c>
      <c r="B15" s="22" t="n">
        <v>6.5</v>
      </c>
      <c r="C15" s="10" t="n">
        <v>320</v>
      </c>
      <c r="D15" s="8" t="n">
        <f aca="false">IF(B15="","-",ROUND(B$4/B15,0))</f>
        <v>92</v>
      </c>
      <c r="E15" s="8" t="n">
        <f aca="false">IF(B15="","-",ROUND(D15*B$5,1))</f>
        <v>9.2</v>
      </c>
      <c r="F15" s="8" t="n">
        <f aca="false">IF(B15="","-",ROUND(E15*B$6,1))</f>
        <v>3.2</v>
      </c>
      <c r="G15" s="23" t="n">
        <f aca="false">IF(B15="","-",ROUND(F15*B$7,0))</f>
        <v>1600</v>
      </c>
    </row>
    <row r="16" customFormat="false" ht="15" hidden="false" customHeight="false" outlineLevel="0" collapsed="false">
      <c r="A16" s="9" t="s">
        <v>82</v>
      </c>
      <c r="B16" s="22" t="n">
        <v>5.2</v>
      </c>
      <c r="C16" s="10" t="n">
        <v>280</v>
      </c>
      <c r="D16" s="8" t="n">
        <f aca="false">IF(B16="","-",ROUND(B$4/B16,0))</f>
        <v>115</v>
      </c>
      <c r="E16" s="8" t="n">
        <f aca="false">IF(B16="","-",ROUND(D16*B$5,1))</f>
        <v>11.5</v>
      </c>
      <c r="F16" s="8" t="n">
        <f aca="false">IF(B16="","-",ROUND(E16*B$6,1))</f>
        <v>4</v>
      </c>
      <c r="G16" s="23" t="n">
        <f aca="false">IF(B16="","-",ROUND(F16*B$7,0))</f>
        <v>2000</v>
      </c>
    </row>
    <row r="17" customFormat="false" ht="15" hidden="false" customHeight="false" outlineLevel="0" collapsed="false">
      <c r="A17" s="9" t="s">
        <v>83</v>
      </c>
      <c r="B17" s="22" t="n">
        <v>2.5</v>
      </c>
      <c r="C17" s="10" t="n">
        <v>90</v>
      </c>
      <c r="D17" s="8" t="n">
        <f aca="false">IF(B17="","-",ROUND(B$4/B17,0))</f>
        <v>240</v>
      </c>
      <c r="E17" s="8" t="n">
        <f aca="false">IF(B17="","-",ROUND(D17*B$5,1))</f>
        <v>24</v>
      </c>
      <c r="F17" s="8" t="n">
        <f aca="false">IF(B17="","-",ROUND(E17*B$6,1))</f>
        <v>8.4</v>
      </c>
      <c r="G17" s="23" t="n">
        <f aca="false">IF(B17="","-",ROUND(F17*B$7,0))</f>
        <v>4200</v>
      </c>
    </row>
    <row r="18" customFormat="false" ht="15" hidden="false" customHeight="false" outlineLevel="0" collapsed="false">
      <c r="A18" s="9" t="s">
        <v>84</v>
      </c>
      <c r="B18" s="22" t="n">
        <v>1.8</v>
      </c>
      <c r="C18" s="10" t="n">
        <v>40</v>
      </c>
      <c r="D18" s="8" t="n">
        <f aca="false">IF(B18="","-",ROUND(B$4/B18,0))</f>
        <v>333</v>
      </c>
      <c r="E18" s="8" t="n">
        <f aca="false">IF(B18="","-",ROUND(D18*B$5,1))</f>
        <v>33.3</v>
      </c>
      <c r="F18" s="8" t="n">
        <f aca="false">IF(B18="","-",ROUND(E18*B$6,1))</f>
        <v>11.7</v>
      </c>
      <c r="G18" s="23" t="n">
        <f aca="false">IF(B18="","-",ROUND(F18*B$7,0))</f>
        <v>5850</v>
      </c>
    </row>
    <row r="19" customFormat="false" ht="15" hidden="false" customHeight="false" outlineLevel="0" collapsed="false">
      <c r="A19" s="9" t="s">
        <v>85</v>
      </c>
      <c r="B19" s="22" t="n">
        <v>4</v>
      </c>
      <c r="C19" s="10" t="n">
        <v>60</v>
      </c>
      <c r="D19" s="8" t="n">
        <f aca="false">IF(B19="","-",ROUND(B$4/B19,0))</f>
        <v>150</v>
      </c>
      <c r="E19" s="8" t="n">
        <f aca="false">IF(B19="","-",ROUND(D19*B$5,1))</f>
        <v>15</v>
      </c>
      <c r="F19" s="8" t="n">
        <f aca="false">IF(B19="","-",ROUND(E19*B$6,1))</f>
        <v>5.3</v>
      </c>
      <c r="G19" s="23" t="n">
        <f aca="false">IF(B19="","-",ROUND(F19*B$7,0))</f>
        <v>2650</v>
      </c>
    </row>
    <row r="20" customFormat="false" ht="15" hidden="false" customHeight="false" outlineLevel="0" collapsed="false">
      <c r="A20" s="9" t="s">
        <v>86</v>
      </c>
      <c r="B20" s="22" t="n">
        <v>2.2</v>
      </c>
      <c r="C20" s="10" t="n">
        <v>150</v>
      </c>
      <c r="D20" s="8" t="n">
        <f aca="false">IF(B20="","-",ROUND(B$4/B20,0))</f>
        <v>273</v>
      </c>
      <c r="E20" s="8" t="n">
        <f aca="false">IF(B20="","-",ROUND(D20*B$5,1))</f>
        <v>27.3</v>
      </c>
      <c r="F20" s="8" t="n">
        <f aca="false">IF(B20="","-",ROUND(E20*B$6,1))</f>
        <v>9.6</v>
      </c>
      <c r="G20" s="23" t="n">
        <f aca="false">IF(B20="","-",ROUND(F20*B$7,0))</f>
        <v>4800</v>
      </c>
    </row>
    <row r="21" customFormat="false" ht="15" hidden="false" customHeight="false" outlineLevel="0" collapsed="false">
      <c r="A21" s="9" t="s">
        <v>87</v>
      </c>
      <c r="B21" s="22" t="n">
        <v>7</v>
      </c>
      <c r="C21" s="10" t="n">
        <v>180</v>
      </c>
      <c r="D21" s="8" t="n">
        <f aca="false">IF(B21="","-",ROUND(B$4/B21,0))</f>
        <v>86</v>
      </c>
      <c r="E21" s="8" t="n">
        <f aca="false">IF(B21="","-",ROUND(D21*B$5,1))</f>
        <v>8.6</v>
      </c>
      <c r="F21" s="8" t="n">
        <f aca="false">IF(B21="","-",ROUND(E21*B$6,1))</f>
        <v>3</v>
      </c>
      <c r="G21" s="23" t="n">
        <f aca="false">IF(B21="","-",ROUND(F21*B$7,0))</f>
        <v>1500</v>
      </c>
    </row>
    <row r="22" customFormat="false" ht="15" hidden="false" customHeight="false" outlineLevel="0" collapsed="false">
      <c r="A22" s="9" t="s">
        <v>88</v>
      </c>
      <c r="B22" s="22" t="n">
        <v>4.5</v>
      </c>
      <c r="C22" s="10" t="n">
        <v>200</v>
      </c>
      <c r="D22" s="8" t="n">
        <f aca="false">IF(B22="","-",ROUND(B$4/B22,0))</f>
        <v>133</v>
      </c>
      <c r="E22" s="8" t="n">
        <f aca="false">IF(B22="","-",ROUND(D22*B$5,1))</f>
        <v>13.3</v>
      </c>
      <c r="F22" s="8" t="n">
        <f aca="false">IF(B22="","-",ROUND(E22*B$6,1))</f>
        <v>4.7</v>
      </c>
      <c r="G22" s="23" t="n">
        <f aca="false">IF(B22="","-",ROUND(F22*B$7,0))</f>
        <v>2350</v>
      </c>
    </row>
    <row r="23" customFormat="false" ht="15" hidden="false" customHeight="false" outlineLevel="0" collapsed="false">
      <c r="A23" s="9" t="s">
        <v>89</v>
      </c>
      <c r="B23" s="22"/>
      <c r="C23" s="10"/>
      <c r="D23" s="8" t="str">
        <f aca="false">IF(B23="","-",ROUND(B$4/B23,0))</f>
        <v>-</v>
      </c>
      <c r="E23" s="8" t="str">
        <f aca="false">IF(B23="","-",ROUND(D23*B$5,1))</f>
        <v>-</v>
      </c>
      <c r="F23" s="8" t="str">
        <f aca="false">IF(B23="","-",ROUND(E23*B$6,1))</f>
        <v>-</v>
      </c>
      <c r="G23" s="23" t="str">
        <f aca="false">IF(B23="","-",ROUND(F23*B$7,0))</f>
        <v>-</v>
      </c>
    </row>
    <row r="24" customFormat="false" ht="15" hidden="false" customHeight="false" outlineLevel="0" collapsed="false">
      <c r="A24" s="9" t="s">
        <v>90</v>
      </c>
      <c r="B24" s="22"/>
      <c r="C24" s="10"/>
      <c r="D24" s="8" t="str">
        <f aca="false">IF(B24="","-",ROUND(B$4/B24,0))</f>
        <v>-</v>
      </c>
      <c r="E24" s="8" t="str">
        <f aca="false">IF(B24="","-",ROUND(D24*B$5,1))</f>
        <v>-</v>
      </c>
      <c r="F24" s="8" t="str">
        <f aca="false">IF(B24="","-",ROUND(E24*B$6,1))</f>
        <v>-</v>
      </c>
      <c r="G24" s="23" t="str">
        <f aca="false">IF(B24="","-",ROUND(F24*B$7,0))</f>
        <v>-</v>
      </c>
    </row>
    <row r="25" customFormat="false" ht="15" hidden="false" customHeight="false" outlineLevel="0" collapsed="false">
      <c r="A25" s="9" t="s">
        <v>91</v>
      </c>
      <c r="B25" s="22"/>
      <c r="C25" s="10"/>
      <c r="D25" s="8" t="str">
        <f aca="false">IF(B25="","-",ROUND(B$4/B25,0))</f>
        <v>-</v>
      </c>
      <c r="E25" s="8" t="str">
        <f aca="false">IF(B25="","-",ROUND(D25*B$5,1))</f>
        <v>-</v>
      </c>
      <c r="F25" s="8" t="str">
        <f aca="false">IF(B25="","-",ROUND(E25*B$6,1))</f>
        <v>-</v>
      </c>
      <c r="G25" s="23" t="str">
        <f aca="false">IF(B25="","-",ROUND(F25*B$7,0))</f>
        <v>-</v>
      </c>
    </row>
    <row r="27" customFormat="false" ht="15" hidden="false" customHeight="false" outlineLevel="0" collapsed="false">
      <c r="A27" s="19" t="s">
        <v>92</v>
      </c>
      <c r="B27" s="24"/>
      <c r="C27" s="24"/>
      <c r="D27" s="24"/>
      <c r="E27" s="24"/>
      <c r="F27" s="24"/>
      <c r="G27" s="24"/>
    </row>
    <row r="29" customFormat="false" ht="15" hidden="false" customHeight="false" outlineLevel="0" collapsed="false">
      <c r="A29" s="18" t="s">
        <v>93</v>
      </c>
    </row>
    <row r="30" customFormat="false" ht="15" hidden="false" customHeight="false" outlineLevel="0" collapsed="false">
      <c r="A30" s="19" t="s">
        <v>94</v>
      </c>
      <c r="B30" s="25" t="n">
        <f aca="false">B4</f>
        <v>600</v>
      </c>
    </row>
    <row r="31" customFormat="false" ht="15" hidden="false" customHeight="false" outlineLevel="0" collapsed="false">
      <c r="A31" s="19" t="s">
        <v>95</v>
      </c>
      <c r="B31" s="25" t="n">
        <f aca="false">MAX(G11:G25)</f>
        <v>5850</v>
      </c>
    </row>
    <row r="32" customFormat="false" ht="15" hidden="false" customHeight="false" outlineLevel="0" collapsed="false">
      <c r="A32" s="19" t="s">
        <v>96</v>
      </c>
      <c r="B32" s="25" t="n">
        <f aca="false">MIN(G11:G25)</f>
        <v>1500</v>
      </c>
    </row>
    <row r="33" customFormat="false" ht="15" hidden="false" customHeight="false" outlineLevel="0" collapsed="false">
      <c r="A33" s="19" t="s">
        <v>97</v>
      </c>
      <c r="B33" s="26" t="n">
        <f aca="false">IF(B4=0,"-",(B31-B4)/B4)</f>
        <v>8.75</v>
      </c>
    </row>
    <row r="34" customFormat="false" ht="15" hidden="false" customHeight="false" outlineLevel="0" collapsed="false">
      <c r="A34" s="19" t="s">
        <v>98</v>
      </c>
      <c r="B34" s="26" t="n">
        <f aca="false">IF(B4=0,"-",(B32-B4)/B4)</f>
        <v>1.5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7" min="5" style="0" width="15"/>
  </cols>
  <sheetData>
    <row r="1" customFormat="false" ht="34.5" hidden="false" customHeight="true" outlineLevel="0" collapsed="false">
      <c r="A1" s="17" t="s">
        <v>99</v>
      </c>
      <c r="B1" s="17"/>
      <c r="C1" s="17"/>
      <c r="D1" s="17"/>
      <c r="E1" s="17"/>
      <c r="F1" s="17"/>
      <c r="G1" s="17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8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11</v>
      </c>
    </row>
    <row r="5" customFormat="false" ht="27.75" hidden="false" customHeight="true" outlineLevel="0" collapsed="false">
      <c r="A5" s="27" t="s">
        <v>106</v>
      </c>
      <c r="B5" s="27"/>
      <c r="C5" s="27"/>
      <c r="D5" s="27"/>
      <c r="E5" s="27"/>
      <c r="F5" s="27"/>
      <c r="G5" s="27"/>
    </row>
    <row r="6" customFormat="false" ht="45" hidden="false" customHeight="true" outlineLevel="0" collapsed="false">
      <c r="A6" s="8" t="n">
        <v>1</v>
      </c>
      <c r="B6" s="8" t="s">
        <v>107</v>
      </c>
      <c r="C6" s="28" t="s">
        <v>108</v>
      </c>
      <c r="D6" s="29" t="s">
        <v>109</v>
      </c>
      <c r="E6" s="4"/>
      <c r="F6" s="4"/>
      <c r="G6" s="4"/>
    </row>
    <row r="7" customFormat="false" ht="45" hidden="false" customHeight="true" outlineLevel="0" collapsed="false">
      <c r="A7" s="8" t="n">
        <v>2</v>
      </c>
      <c r="B7" s="8" t="s">
        <v>107</v>
      </c>
      <c r="C7" s="28" t="s">
        <v>110</v>
      </c>
      <c r="D7" s="29" t="s">
        <v>111</v>
      </c>
      <c r="E7" s="4"/>
      <c r="F7" s="4"/>
      <c r="G7" s="4"/>
    </row>
    <row r="8" customFormat="false" ht="45" hidden="false" customHeight="true" outlineLevel="0" collapsed="false">
      <c r="A8" s="8" t="n">
        <v>3</v>
      </c>
      <c r="B8" s="8" t="s">
        <v>107</v>
      </c>
      <c r="C8" s="28" t="s">
        <v>112</v>
      </c>
      <c r="D8" s="29" t="s">
        <v>113</v>
      </c>
      <c r="E8" s="4"/>
      <c r="F8" s="4"/>
      <c r="G8" s="4"/>
    </row>
    <row r="9" customFormat="false" ht="45" hidden="false" customHeight="true" outlineLevel="0" collapsed="false">
      <c r="A9" s="8" t="n">
        <v>4</v>
      </c>
      <c r="B9" s="8" t="s">
        <v>107</v>
      </c>
      <c r="C9" s="28" t="s">
        <v>114</v>
      </c>
      <c r="D9" s="29" t="s">
        <v>115</v>
      </c>
      <c r="E9" s="4"/>
      <c r="F9" s="4"/>
      <c r="G9" s="4"/>
    </row>
    <row r="10" customFormat="false" ht="45" hidden="false" customHeight="true" outlineLevel="0" collapsed="false">
      <c r="A10" s="8" t="n">
        <v>5</v>
      </c>
      <c r="B10" s="8" t="s">
        <v>107</v>
      </c>
      <c r="C10" s="28" t="s">
        <v>116</v>
      </c>
      <c r="D10" s="29" t="s">
        <v>117</v>
      </c>
      <c r="E10" s="4"/>
      <c r="F10" s="4"/>
      <c r="G10" s="4"/>
    </row>
    <row r="11" customFormat="false" ht="45" hidden="false" customHeight="true" outlineLevel="0" collapsed="false">
      <c r="A11" s="8" t="n">
        <v>6</v>
      </c>
      <c r="B11" s="8" t="s">
        <v>107</v>
      </c>
      <c r="C11" s="28" t="s">
        <v>118</v>
      </c>
      <c r="D11" s="29" t="s">
        <v>119</v>
      </c>
      <c r="E11" s="4"/>
      <c r="F11" s="4"/>
      <c r="G11" s="4"/>
    </row>
    <row r="12" customFormat="false" ht="45" hidden="false" customHeight="true" outlineLevel="0" collapsed="false">
      <c r="A12" s="8" t="n">
        <v>7</v>
      </c>
      <c r="B12" s="8" t="s">
        <v>107</v>
      </c>
      <c r="C12" s="28" t="s">
        <v>120</v>
      </c>
      <c r="D12" s="29" t="s">
        <v>121</v>
      </c>
      <c r="E12" s="4"/>
      <c r="F12" s="4"/>
      <c r="G12" s="4"/>
    </row>
    <row r="13" customFormat="false" ht="45" hidden="false" customHeight="true" outlineLevel="0" collapsed="false">
      <c r="A13" s="8" t="n">
        <v>8</v>
      </c>
      <c r="B13" s="8" t="s">
        <v>107</v>
      </c>
      <c r="C13" s="28" t="s">
        <v>122</v>
      </c>
      <c r="D13" s="29" t="s">
        <v>123</v>
      </c>
      <c r="E13" s="4"/>
      <c r="F13" s="4"/>
      <c r="G13" s="4"/>
    </row>
    <row r="14" customFormat="false" ht="27.75" hidden="false" customHeight="true" outlineLevel="0" collapsed="false">
      <c r="A14" s="30" t="s">
        <v>124</v>
      </c>
      <c r="B14" s="30"/>
      <c r="C14" s="30"/>
      <c r="D14" s="30"/>
      <c r="E14" s="30"/>
      <c r="F14" s="30"/>
      <c r="G14" s="30"/>
    </row>
    <row r="15" customFormat="false" ht="45" hidden="false" customHeight="true" outlineLevel="0" collapsed="false">
      <c r="A15" s="8" t="n">
        <v>9</v>
      </c>
      <c r="B15" s="8" t="s">
        <v>125</v>
      </c>
      <c r="C15" s="28" t="s">
        <v>126</v>
      </c>
      <c r="D15" s="29" t="s">
        <v>127</v>
      </c>
      <c r="E15" s="4"/>
      <c r="F15" s="4"/>
      <c r="G15" s="4"/>
    </row>
    <row r="16" customFormat="false" ht="45" hidden="false" customHeight="true" outlineLevel="0" collapsed="false">
      <c r="A16" s="8" t="n">
        <v>10</v>
      </c>
      <c r="B16" s="8" t="s">
        <v>125</v>
      </c>
      <c r="C16" s="28" t="s">
        <v>128</v>
      </c>
      <c r="D16" s="29" t="s">
        <v>129</v>
      </c>
      <c r="E16" s="4"/>
      <c r="F16" s="4"/>
      <c r="G16" s="4"/>
    </row>
    <row r="17" customFormat="false" ht="45" hidden="false" customHeight="true" outlineLevel="0" collapsed="false">
      <c r="A17" s="8" t="n">
        <v>11</v>
      </c>
      <c r="B17" s="8" t="s">
        <v>125</v>
      </c>
      <c r="C17" s="28" t="s">
        <v>130</v>
      </c>
      <c r="D17" s="29" t="s">
        <v>131</v>
      </c>
      <c r="E17" s="4"/>
      <c r="F17" s="4"/>
      <c r="G17" s="4"/>
    </row>
    <row r="18" customFormat="false" ht="45" hidden="false" customHeight="true" outlineLevel="0" collapsed="false">
      <c r="A18" s="8" t="n">
        <v>12</v>
      </c>
      <c r="B18" s="8" t="s">
        <v>125</v>
      </c>
      <c r="C18" s="28" t="s">
        <v>132</v>
      </c>
      <c r="D18" s="29" t="s">
        <v>133</v>
      </c>
      <c r="E18" s="4"/>
      <c r="F18" s="4"/>
      <c r="G18" s="4"/>
    </row>
    <row r="19" customFormat="false" ht="45" hidden="false" customHeight="true" outlineLevel="0" collapsed="false">
      <c r="A19" s="8" t="n">
        <v>13</v>
      </c>
      <c r="B19" s="8" t="s">
        <v>125</v>
      </c>
      <c r="C19" s="28" t="s">
        <v>134</v>
      </c>
      <c r="D19" s="29" t="s">
        <v>135</v>
      </c>
      <c r="E19" s="4"/>
      <c r="F19" s="4"/>
      <c r="G19" s="4"/>
    </row>
    <row r="20" customFormat="false" ht="45" hidden="false" customHeight="true" outlineLevel="0" collapsed="false">
      <c r="A20" s="8" t="n">
        <v>14</v>
      </c>
      <c r="B20" s="8" t="s">
        <v>125</v>
      </c>
      <c r="C20" s="28" t="s">
        <v>136</v>
      </c>
      <c r="D20" s="29" t="s">
        <v>137</v>
      </c>
      <c r="E20" s="4"/>
      <c r="F20" s="4"/>
      <c r="G20" s="4"/>
    </row>
    <row r="21" customFormat="false" ht="27.75" hidden="false" customHeight="true" outlineLevel="0" collapsed="false">
      <c r="A21" s="31" t="s">
        <v>138</v>
      </c>
      <c r="B21" s="31"/>
      <c r="C21" s="31"/>
      <c r="D21" s="31"/>
      <c r="E21" s="31"/>
      <c r="F21" s="31"/>
      <c r="G21" s="31"/>
    </row>
    <row r="22" customFormat="false" ht="45" hidden="false" customHeight="true" outlineLevel="0" collapsed="false">
      <c r="A22" s="8" t="n">
        <v>15</v>
      </c>
      <c r="B22" s="8" t="s">
        <v>139</v>
      </c>
      <c r="C22" s="28" t="s">
        <v>140</v>
      </c>
      <c r="D22" s="29" t="s">
        <v>141</v>
      </c>
      <c r="E22" s="4"/>
      <c r="F22" s="4"/>
      <c r="G22" s="4"/>
    </row>
    <row r="23" customFormat="false" ht="45" hidden="false" customHeight="true" outlineLevel="0" collapsed="false">
      <c r="A23" s="8" t="n">
        <v>16</v>
      </c>
      <c r="B23" s="8" t="s">
        <v>139</v>
      </c>
      <c r="C23" s="28" t="s">
        <v>142</v>
      </c>
      <c r="D23" s="29" t="s">
        <v>143</v>
      </c>
      <c r="E23" s="4"/>
      <c r="F23" s="4"/>
      <c r="G23" s="4"/>
    </row>
    <row r="24" customFormat="false" ht="45" hidden="false" customHeight="true" outlineLevel="0" collapsed="false">
      <c r="A24" s="8" t="n">
        <v>17</v>
      </c>
      <c r="B24" s="8" t="s">
        <v>139</v>
      </c>
      <c r="C24" s="28" t="s">
        <v>144</v>
      </c>
      <c r="D24" s="29" t="s">
        <v>145</v>
      </c>
      <c r="E24" s="4"/>
      <c r="F24" s="4"/>
      <c r="G24" s="4"/>
    </row>
    <row r="25" customFormat="false" ht="45" hidden="false" customHeight="true" outlineLevel="0" collapsed="false">
      <c r="A25" s="8" t="n">
        <v>18</v>
      </c>
      <c r="B25" s="8" t="s">
        <v>139</v>
      </c>
      <c r="C25" s="28" t="s">
        <v>146</v>
      </c>
      <c r="D25" s="29" t="s">
        <v>147</v>
      </c>
      <c r="E25" s="4"/>
      <c r="F25" s="4"/>
      <c r="G25" s="4"/>
    </row>
    <row r="26" customFormat="false" ht="45" hidden="false" customHeight="true" outlineLevel="0" collapsed="false">
      <c r="A26" s="8" t="n">
        <v>19</v>
      </c>
      <c r="B26" s="8" t="s">
        <v>139</v>
      </c>
      <c r="C26" s="28" t="s">
        <v>148</v>
      </c>
      <c r="D26" s="29" t="s">
        <v>149</v>
      </c>
      <c r="E26" s="4"/>
      <c r="F26" s="4"/>
      <c r="G26" s="4"/>
    </row>
    <row r="27" customFormat="false" ht="45" hidden="false" customHeight="true" outlineLevel="0" collapsed="false">
      <c r="A27" s="8" t="n">
        <v>20</v>
      </c>
      <c r="B27" s="8" t="s">
        <v>139</v>
      </c>
      <c r="C27" s="28" t="s">
        <v>150</v>
      </c>
      <c r="D27" s="29" t="s">
        <v>151</v>
      </c>
      <c r="E27" s="4"/>
      <c r="F27" s="4"/>
      <c r="G27" s="4"/>
    </row>
    <row r="28" customFormat="false" ht="45" hidden="false" customHeight="true" outlineLevel="0" collapsed="false">
      <c r="A28" s="8" t="n">
        <v>21</v>
      </c>
      <c r="B28" s="8" t="s">
        <v>139</v>
      </c>
      <c r="C28" s="28" t="s">
        <v>152</v>
      </c>
      <c r="D28" s="29" t="s">
        <v>153</v>
      </c>
      <c r="E28" s="4"/>
      <c r="F28" s="4"/>
      <c r="G28" s="4"/>
    </row>
  </sheetData>
  <mergeCells count="5">
    <mergeCell ref="A1:G1"/>
    <mergeCell ref="A2:G2"/>
    <mergeCell ref="A5:G5"/>
    <mergeCell ref="A14:G14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3" min="2" style="0" width="14"/>
  </cols>
  <sheetData>
    <row r="1" customFormat="false" ht="34.5" hidden="false" customHeight="true" outlineLevel="0" collapsed="false">
      <c r="A1" s="17" t="s">
        <v>154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customFormat="false" ht="15" hidden="false" customHeight="false" outlineLevel="0" collapsed="false">
      <c r="A3" s="6" t="s">
        <v>155</v>
      </c>
      <c r="B3" s="6" t="s">
        <v>156</v>
      </c>
      <c r="C3" s="6" t="s">
        <v>157</v>
      </c>
      <c r="D3" s="6" t="s">
        <v>158</v>
      </c>
      <c r="E3" s="6" t="s">
        <v>159</v>
      </c>
      <c r="F3" s="6" t="s">
        <v>160</v>
      </c>
      <c r="G3" s="6" t="s">
        <v>161</v>
      </c>
      <c r="H3" s="6" t="s">
        <v>162</v>
      </c>
      <c r="I3" s="6" t="s">
        <v>163</v>
      </c>
      <c r="J3" s="6" t="s">
        <v>164</v>
      </c>
      <c r="K3" s="6" t="s">
        <v>165</v>
      </c>
      <c r="L3" s="6" t="s">
        <v>166</v>
      </c>
      <c r="M3" s="6" t="s">
        <v>167</v>
      </c>
    </row>
    <row r="4" customFormat="false" ht="15" hidden="false" customHeight="false" outlineLevel="0" collapsed="false">
      <c r="A4" s="19" t="s">
        <v>168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5" hidden="false" customHeight="false" outlineLevel="0" collapsed="false">
      <c r="A5" s="19" t="s">
        <v>169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5" hidden="false" customHeight="false" outlineLevel="0" collapsed="false">
      <c r="A6" s="19" t="s">
        <v>170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19" t="s">
        <v>171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19" t="s">
        <v>172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19" t="s">
        <v>173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19" t="s">
        <v>174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19" t="s">
        <v>175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customFormat="false" ht="15" hidden="false" customHeight="false" outlineLevel="0" collapsed="false">
      <c r="A12" s="19" t="s">
        <v>176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9" t="s">
        <v>177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32" t="s">
        <v>178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customFormat="false" ht="15" hidden="false" customHeight="false" outlineLevel="0" collapsed="false">
      <c r="A15" s="19" t="s">
        <v>179</v>
      </c>
      <c r="B15" s="33" t="str">
        <f aca="false">IF(B5=0,"-",B6/B5)</f>
        <v>-</v>
      </c>
      <c r="C15" s="33" t="str">
        <f aca="false">IF(C5=0,"-",C6/C5)</f>
        <v>-</v>
      </c>
      <c r="D15" s="33" t="str">
        <f aca="false">IF(D5=0,"-",D6/D5)</f>
        <v>-</v>
      </c>
      <c r="E15" s="33" t="str">
        <f aca="false">IF(E5=0,"-",E6/E5)</f>
        <v>-</v>
      </c>
      <c r="F15" s="33" t="str">
        <f aca="false">IF(F5=0,"-",F6/F5)</f>
        <v>-</v>
      </c>
      <c r="G15" s="33" t="str">
        <f aca="false">IF(G5=0,"-",G6/G5)</f>
        <v>-</v>
      </c>
      <c r="H15" s="33" t="str">
        <f aca="false">IF(H5=0,"-",H6/H5)</f>
        <v>-</v>
      </c>
      <c r="I15" s="33" t="str">
        <f aca="false">IF(I5=0,"-",I6/I5)</f>
        <v>-</v>
      </c>
      <c r="J15" s="33" t="str">
        <f aca="false">IF(J5=0,"-",J6/J5)</f>
        <v>-</v>
      </c>
      <c r="K15" s="33" t="str">
        <f aca="false">IF(K5=0,"-",K6/K5)</f>
        <v>-</v>
      </c>
      <c r="L15" s="33" t="str">
        <f aca="false">IF(L5=0,"-",L6/L5)</f>
        <v>-</v>
      </c>
      <c r="M15" s="33" t="str">
        <f aca="false">IF(M5=0,"-",M6/M5)</f>
        <v>-</v>
      </c>
    </row>
    <row r="16" customFormat="false" ht="15" hidden="false" customHeight="false" outlineLevel="0" collapsed="false">
      <c r="A16" s="19" t="s">
        <v>180</v>
      </c>
      <c r="B16" s="34" t="str">
        <f aca="false">IF(B6=0,"-",B4/B6)</f>
        <v>-</v>
      </c>
      <c r="C16" s="34" t="str">
        <f aca="false">IF(C6=0,"-",C4/C6)</f>
        <v>-</v>
      </c>
      <c r="D16" s="34" t="str">
        <f aca="false">IF(D6=0,"-",D4/D6)</f>
        <v>-</v>
      </c>
      <c r="E16" s="34" t="str">
        <f aca="false">IF(E6=0,"-",E4/E6)</f>
        <v>-</v>
      </c>
      <c r="F16" s="34" t="str">
        <f aca="false">IF(F6=0,"-",F4/F6)</f>
        <v>-</v>
      </c>
      <c r="G16" s="34" t="str">
        <f aca="false">IF(G6=0,"-",G4/G6)</f>
        <v>-</v>
      </c>
      <c r="H16" s="34" t="str">
        <f aca="false">IF(H6=0,"-",H4/H6)</f>
        <v>-</v>
      </c>
      <c r="I16" s="34" t="str">
        <f aca="false">IF(I6=0,"-",I4/I6)</f>
        <v>-</v>
      </c>
      <c r="J16" s="34" t="str">
        <f aca="false">IF(J6=0,"-",J4/J6)</f>
        <v>-</v>
      </c>
      <c r="K16" s="34" t="str">
        <f aca="false">IF(K6=0,"-",K4/K6)</f>
        <v>-</v>
      </c>
      <c r="L16" s="34" t="str">
        <f aca="false">IF(L6=0,"-",L4/L6)</f>
        <v>-</v>
      </c>
      <c r="M16" s="34" t="str">
        <f aca="false">IF(M6=0,"-",M4/M6)</f>
        <v>-</v>
      </c>
    </row>
    <row r="17" customFormat="false" ht="15" hidden="false" customHeight="false" outlineLevel="0" collapsed="false">
      <c r="A17" s="19" t="s">
        <v>181</v>
      </c>
      <c r="B17" s="34" t="str">
        <f aca="false">IF(B9=0,"-",B4/B9)</f>
        <v>-</v>
      </c>
      <c r="C17" s="34" t="str">
        <f aca="false">IF(C9=0,"-",C4/C9)</f>
        <v>-</v>
      </c>
      <c r="D17" s="34" t="str">
        <f aca="false">IF(D9=0,"-",D4/D9)</f>
        <v>-</v>
      </c>
      <c r="E17" s="34" t="str">
        <f aca="false">IF(E9=0,"-",E4/E9)</f>
        <v>-</v>
      </c>
      <c r="F17" s="34" t="str">
        <f aca="false">IF(F9=0,"-",F4/F9)</f>
        <v>-</v>
      </c>
      <c r="G17" s="34" t="str">
        <f aca="false">IF(G9=0,"-",G4/G9)</f>
        <v>-</v>
      </c>
      <c r="H17" s="34" t="str">
        <f aca="false">IF(H9=0,"-",H4/H9)</f>
        <v>-</v>
      </c>
      <c r="I17" s="34" t="str">
        <f aca="false">IF(I9=0,"-",I4/I9)</f>
        <v>-</v>
      </c>
      <c r="J17" s="34" t="str">
        <f aca="false">IF(J9=0,"-",J4/J9)</f>
        <v>-</v>
      </c>
      <c r="K17" s="34" t="str">
        <f aca="false">IF(K9=0,"-",K4/K9)</f>
        <v>-</v>
      </c>
      <c r="L17" s="34" t="str">
        <f aca="false">IF(L9=0,"-",L4/L9)</f>
        <v>-</v>
      </c>
      <c r="M17" s="34" t="str">
        <f aca="false">IF(M9=0,"-",M4/M9)</f>
        <v>-</v>
      </c>
    </row>
    <row r="18" customFormat="false" ht="15" hidden="false" customHeight="false" outlineLevel="0" collapsed="false">
      <c r="A18" s="19" t="s">
        <v>182</v>
      </c>
      <c r="B18" s="34" t="str">
        <f aca="false">IF(B10=0,"-",B4/B10)</f>
        <v>-</v>
      </c>
      <c r="C18" s="34" t="str">
        <f aca="false">IF(C10=0,"-",C4/C10)</f>
        <v>-</v>
      </c>
      <c r="D18" s="34" t="str">
        <f aca="false">IF(D10=0,"-",D4/D10)</f>
        <v>-</v>
      </c>
      <c r="E18" s="34" t="str">
        <f aca="false">IF(E10=0,"-",E4/E10)</f>
        <v>-</v>
      </c>
      <c r="F18" s="34" t="str">
        <f aca="false">IF(F10=0,"-",F4/F10)</f>
        <v>-</v>
      </c>
      <c r="G18" s="34" t="str">
        <f aca="false">IF(G10=0,"-",G4/G10)</f>
        <v>-</v>
      </c>
      <c r="H18" s="34" t="str">
        <f aca="false">IF(H10=0,"-",H4/H10)</f>
        <v>-</v>
      </c>
      <c r="I18" s="34" t="str">
        <f aca="false">IF(I10=0,"-",I4/I10)</f>
        <v>-</v>
      </c>
      <c r="J18" s="34" t="str">
        <f aca="false">IF(J10=0,"-",J4/J10)</f>
        <v>-</v>
      </c>
      <c r="K18" s="34" t="str">
        <f aca="false">IF(K10=0,"-",K4/K10)</f>
        <v>-</v>
      </c>
      <c r="L18" s="34" t="str">
        <f aca="false">IF(L10=0,"-",L4/L10)</f>
        <v>-</v>
      </c>
      <c r="M18" s="34" t="str">
        <f aca="false">IF(M10=0,"-",M4/M10)</f>
        <v>-</v>
      </c>
    </row>
    <row r="19" customFormat="false" ht="15" hidden="false" customHeight="false" outlineLevel="0" collapsed="false">
      <c r="A19" s="19" t="s">
        <v>183</v>
      </c>
      <c r="B19" s="33" t="str">
        <f aca="false">IF(B6=0,"-",B9/B6)</f>
        <v>-</v>
      </c>
      <c r="C19" s="33" t="str">
        <f aca="false">IF(C6=0,"-",C9/C6)</f>
        <v>-</v>
      </c>
      <c r="D19" s="33" t="str">
        <f aca="false">IF(D6=0,"-",D9/D6)</f>
        <v>-</v>
      </c>
      <c r="E19" s="33" t="str">
        <f aca="false">IF(E6=0,"-",E9/E6)</f>
        <v>-</v>
      </c>
      <c r="F19" s="33" t="str">
        <f aca="false">IF(F6=0,"-",F9/F6)</f>
        <v>-</v>
      </c>
      <c r="G19" s="33" t="str">
        <f aca="false">IF(G6=0,"-",G9/G6)</f>
        <v>-</v>
      </c>
      <c r="H19" s="33" t="str">
        <f aca="false">IF(H6=0,"-",H9/H6)</f>
        <v>-</v>
      </c>
      <c r="I19" s="33" t="str">
        <f aca="false">IF(I6=0,"-",I9/I6)</f>
        <v>-</v>
      </c>
      <c r="J19" s="33" t="str">
        <f aca="false">IF(J6=0,"-",J9/J6)</f>
        <v>-</v>
      </c>
      <c r="K19" s="33" t="str">
        <f aca="false">IF(K6=0,"-",K9/K6)</f>
        <v>-</v>
      </c>
      <c r="L19" s="33" t="str">
        <f aca="false">IF(L6=0,"-",L9/L6)</f>
        <v>-</v>
      </c>
      <c r="M19" s="33" t="str">
        <f aca="false">IF(M6=0,"-",M9/M6)</f>
        <v>-</v>
      </c>
    </row>
    <row r="20" customFormat="false" ht="15" hidden="false" customHeight="false" outlineLevel="0" collapsed="false">
      <c r="A20" s="19" t="s">
        <v>184</v>
      </c>
      <c r="B20" s="33" t="str">
        <f aca="false">IF(B9=0,"-",B10/B9)</f>
        <v>-</v>
      </c>
      <c r="C20" s="33" t="str">
        <f aca="false">IF(C9=0,"-",C10/C9)</f>
        <v>-</v>
      </c>
      <c r="D20" s="33" t="str">
        <f aca="false">IF(D9=0,"-",D10/D9)</f>
        <v>-</v>
      </c>
      <c r="E20" s="33" t="str">
        <f aca="false">IF(E9=0,"-",E10/E9)</f>
        <v>-</v>
      </c>
      <c r="F20" s="33" t="str">
        <f aca="false">IF(F9=0,"-",F10/F9)</f>
        <v>-</v>
      </c>
      <c r="G20" s="33" t="str">
        <f aca="false">IF(G9=0,"-",G10/G9)</f>
        <v>-</v>
      </c>
      <c r="H20" s="33" t="str">
        <f aca="false">IF(H9=0,"-",H10/H9)</f>
        <v>-</v>
      </c>
      <c r="I20" s="33" t="str">
        <f aca="false">IF(I9=0,"-",I10/I9)</f>
        <v>-</v>
      </c>
      <c r="J20" s="33" t="str">
        <f aca="false">IF(J9=0,"-",J10/J9)</f>
        <v>-</v>
      </c>
      <c r="K20" s="33" t="str">
        <f aca="false">IF(K9=0,"-",K10/K9)</f>
        <v>-</v>
      </c>
      <c r="L20" s="33" t="str">
        <f aca="false">IF(L9=0,"-",L10/L9)</f>
        <v>-</v>
      </c>
      <c r="M20" s="33" t="str">
        <f aca="false">IF(M9=0,"-",M10/M9)</f>
        <v>-</v>
      </c>
    </row>
    <row r="21" customFormat="false" ht="15" hidden="false" customHeight="false" outlineLevel="0" collapsed="false">
      <c r="A21" s="19" t="s">
        <v>185</v>
      </c>
      <c r="B21" s="35" t="str">
        <f aca="false">IF(B4=0,"-",B11/B4)</f>
        <v>-</v>
      </c>
      <c r="C21" s="35" t="str">
        <f aca="false">IF(C4=0,"-",C11/C4)</f>
        <v>-</v>
      </c>
      <c r="D21" s="35" t="str">
        <f aca="false">IF(D4=0,"-",D11/D4)</f>
        <v>-</v>
      </c>
      <c r="E21" s="35" t="str">
        <f aca="false">IF(E4=0,"-",E11/E4)</f>
        <v>-</v>
      </c>
      <c r="F21" s="35" t="str">
        <f aca="false">IF(F4=0,"-",F11/F4)</f>
        <v>-</v>
      </c>
      <c r="G21" s="35" t="str">
        <f aca="false">IF(G4=0,"-",G11/G4)</f>
        <v>-</v>
      </c>
      <c r="H21" s="35" t="str">
        <f aca="false">IF(H4=0,"-",H11/H4)</f>
        <v>-</v>
      </c>
      <c r="I21" s="35" t="str">
        <f aca="false">IF(I4=0,"-",I11/I4)</f>
        <v>-</v>
      </c>
      <c r="J21" s="35" t="str">
        <f aca="false">IF(J4=0,"-",J11/J4)</f>
        <v>-</v>
      </c>
      <c r="K21" s="35" t="str">
        <f aca="false">IF(K4=0,"-",K11/K4)</f>
        <v>-</v>
      </c>
      <c r="L21" s="35" t="str">
        <f aca="false">IF(L4=0,"-",L11/L4)</f>
        <v>-</v>
      </c>
      <c r="M21" s="35" t="str">
        <f aca="false">IF(M4=0,"-",M11/M4)</f>
        <v>-</v>
      </c>
    </row>
    <row r="22" customFormat="false" ht="15" hidden="false" customHeight="false" outlineLevel="0" collapsed="false">
      <c r="A22" s="19" t="s">
        <v>186</v>
      </c>
      <c r="B22" s="36" t="str">
        <f aca="false">IF(B4=0,"-",(B11-B4)/B4)</f>
        <v>-</v>
      </c>
      <c r="C22" s="36" t="str">
        <f aca="false">IF(C4=0,"-",(C11-C4)/C4)</f>
        <v>-</v>
      </c>
      <c r="D22" s="36" t="str">
        <f aca="false">IF(D4=0,"-",(D11-D4)/D4)</f>
        <v>-</v>
      </c>
      <c r="E22" s="36" t="str">
        <f aca="false">IF(E4=0,"-",(E11-E4)/E4)</f>
        <v>-</v>
      </c>
      <c r="F22" s="36" t="str">
        <f aca="false">IF(F4=0,"-",(F11-F4)/F4)</f>
        <v>-</v>
      </c>
      <c r="G22" s="36" t="str">
        <f aca="false">IF(G4=0,"-",(G11-G4)/G4)</f>
        <v>-</v>
      </c>
      <c r="H22" s="36" t="str">
        <f aca="false">IF(H4=0,"-",(H11-H4)/H4)</f>
        <v>-</v>
      </c>
      <c r="I22" s="36" t="str">
        <f aca="false">IF(I4=0,"-",(I11-I4)/I4)</f>
        <v>-</v>
      </c>
      <c r="J22" s="36" t="str">
        <f aca="false">IF(J4=0,"-",(J11-J4)/J4)</f>
        <v>-</v>
      </c>
      <c r="K22" s="36" t="str">
        <f aca="false">IF(K4=0,"-",(K11-K4)/K4)</f>
        <v>-</v>
      </c>
      <c r="L22" s="36" t="str">
        <f aca="false">IF(L4=0,"-",(L11-L4)/L4)</f>
        <v>-</v>
      </c>
      <c r="M22" s="36" t="str">
        <f aca="false">IF(M4=0,"-",(M11-M4)/M4)</f>
        <v>-</v>
      </c>
    </row>
  </sheetData>
  <mergeCells count="2">
    <mergeCell ref="A1:M1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35"/>
  </cols>
  <sheetData>
    <row r="1" customFormat="false" ht="34.5" hidden="false" customHeight="true" outlineLevel="0" collapsed="false">
      <c r="A1" s="17" t="s">
        <v>187</v>
      </c>
      <c r="B1" s="17"/>
      <c r="C1" s="17"/>
      <c r="D1" s="17"/>
    </row>
    <row r="3" customFormat="false" ht="15" hidden="false" customHeight="false" outlineLevel="0" collapsed="false">
      <c r="A3" s="6" t="s">
        <v>188</v>
      </c>
      <c r="B3" s="6" t="s">
        <v>189</v>
      </c>
      <c r="C3" s="6" t="s">
        <v>190</v>
      </c>
      <c r="D3" s="6" t="s">
        <v>191</v>
      </c>
    </row>
    <row r="4" customFormat="false" ht="15" hidden="false" customHeight="false" outlineLevel="0" collapsed="false">
      <c r="A4" s="19" t="s">
        <v>192</v>
      </c>
      <c r="B4" s="37" t="s">
        <v>193</v>
      </c>
      <c r="C4" s="38" t="s">
        <v>194</v>
      </c>
      <c r="D4" s="39" t="s">
        <v>195</v>
      </c>
    </row>
    <row r="5" customFormat="false" ht="39.75" hidden="false" customHeight="true" outlineLevel="0" collapsed="false">
      <c r="A5" s="28" t="s">
        <v>196</v>
      </c>
      <c r="B5" s="9" t="s">
        <v>197</v>
      </c>
      <c r="C5" s="9" t="s">
        <v>198</v>
      </c>
      <c r="D5" s="9" t="s">
        <v>199</v>
      </c>
    </row>
    <row r="6" customFormat="false" ht="39.75" hidden="false" customHeight="true" outlineLevel="0" collapsed="false">
      <c r="A6" s="28" t="s">
        <v>200</v>
      </c>
      <c r="B6" s="9" t="s">
        <v>201</v>
      </c>
      <c r="C6" s="9" t="s">
        <v>202</v>
      </c>
      <c r="D6" s="9" t="s">
        <v>203</v>
      </c>
    </row>
    <row r="7" customFormat="false" ht="39.75" hidden="false" customHeight="true" outlineLevel="0" collapsed="false">
      <c r="A7" s="28" t="s">
        <v>204</v>
      </c>
      <c r="B7" s="9" t="s">
        <v>205</v>
      </c>
      <c r="C7" s="9" t="s">
        <v>206</v>
      </c>
      <c r="D7" s="9" t="s">
        <v>207</v>
      </c>
    </row>
    <row r="8" customFormat="false" ht="39.75" hidden="false" customHeight="true" outlineLevel="0" collapsed="false">
      <c r="A8" s="28" t="s">
        <v>208</v>
      </c>
      <c r="B8" s="9" t="s">
        <v>209</v>
      </c>
      <c r="C8" s="9" t="s">
        <v>210</v>
      </c>
      <c r="D8" s="9" t="s">
        <v>211</v>
      </c>
    </row>
    <row r="9" customFormat="false" ht="39.75" hidden="false" customHeight="true" outlineLevel="0" collapsed="false">
      <c r="A9" s="28" t="s">
        <v>212</v>
      </c>
      <c r="B9" s="9" t="s">
        <v>213</v>
      </c>
      <c r="C9" s="9" t="s">
        <v>214</v>
      </c>
      <c r="D9" s="9" t="s">
        <v>215</v>
      </c>
    </row>
    <row r="10" customFormat="false" ht="39.75" hidden="false" customHeight="true" outlineLevel="0" collapsed="false">
      <c r="A10" s="28" t="s">
        <v>216</v>
      </c>
      <c r="B10" s="9" t="s">
        <v>217</v>
      </c>
      <c r="C10" s="9" t="s">
        <v>218</v>
      </c>
      <c r="D10" s="9" t="s">
        <v>219</v>
      </c>
    </row>
    <row r="11" customFormat="false" ht="39.75" hidden="false" customHeight="true" outlineLevel="0" collapsed="false">
      <c r="A11" s="28" t="s">
        <v>220</v>
      </c>
      <c r="B11" s="9" t="s">
        <v>221</v>
      </c>
      <c r="C11" s="9" t="s">
        <v>222</v>
      </c>
      <c r="D11" s="9" t="s">
        <v>223</v>
      </c>
    </row>
    <row r="12" customFormat="false" ht="39.75" hidden="false" customHeight="true" outlineLevel="0" collapsed="false">
      <c r="A12" s="28" t="s">
        <v>224</v>
      </c>
      <c r="B12" s="9" t="s">
        <v>225</v>
      </c>
      <c r="C12" s="9" t="s">
        <v>226</v>
      </c>
      <c r="D12" s="9" t="s">
        <v>227</v>
      </c>
    </row>
    <row r="13" customFormat="false" ht="39.75" hidden="false" customHeight="true" outlineLevel="0" collapsed="false">
      <c r="A13" s="28" t="s">
        <v>228</v>
      </c>
      <c r="B13" s="9" t="s">
        <v>229</v>
      </c>
      <c r="C13" s="9" t="s">
        <v>230</v>
      </c>
      <c r="D13" s="9" t="s">
        <v>231</v>
      </c>
    </row>
    <row r="14" customFormat="false" ht="39.75" hidden="false" customHeight="true" outlineLevel="0" collapsed="false">
      <c r="A14" s="28" t="s">
        <v>232</v>
      </c>
      <c r="B14" s="9" t="s">
        <v>233</v>
      </c>
      <c r="C14" s="9" t="s">
        <v>234</v>
      </c>
      <c r="D14" s="9" t="s">
        <v>235</v>
      </c>
    </row>
    <row r="15" customFormat="false" ht="39.75" hidden="false" customHeight="true" outlineLevel="0" collapsed="false">
      <c r="A15" s="28" t="s">
        <v>236</v>
      </c>
      <c r="B15" s="9" t="s">
        <v>237</v>
      </c>
      <c r="C15" s="9" t="s">
        <v>238</v>
      </c>
      <c r="D15" s="9" t="s">
        <v>239</v>
      </c>
    </row>
    <row r="16" customFormat="false" ht="39.75" hidden="false" customHeight="true" outlineLevel="0" collapsed="false">
      <c r="A16" s="28" t="s">
        <v>240</v>
      </c>
      <c r="B16" s="9" t="s">
        <v>241</v>
      </c>
      <c r="C16" s="9" t="s">
        <v>242</v>
      </c>
      <c r="D16" s="9" t="s">
        <v>243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2026-02-09T11:16:02Z</dcterms:created>
  <dc:creator>openpyxl</dc:creator>
  <dc:description/>
  <dc:language>en-US</dc:language>
  <cp:lastModifiedBy/>
  <dcterms:modified xsi:type="dcterms:W3CDTF">2026-02-09T11:16:02Z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