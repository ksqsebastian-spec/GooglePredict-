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Audit-Scorecard" sheetId="1" state="visible" r:id="rId3"/>
    <sheet name="2. Keyword-Budget-Rechner" sheetId="2" state="visible" r:id="rId4"/>
    <sheet name="3. 90-Tage-Aktionsplan" sheetId="3" state="visible" r:id="rId5"/>
    <sheet name="4. Monatstracker" sheetId="4" state="visible" r:id="rId6"/>
    <sheet name="5. Kunden-Avatar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<sst xmlns="http://schemas.openxmlformats.org/spreadsheetml/2006/main" count="250" uniqueCount="248">
  <si>
    <t xml:space="preserve">WERBE-BEREITSCHAFTS-AUDIT</t>
  </si>
  <si>
    <t xml:space="preserve">Bewerten Sie jeden Punkt von 0 bis 5. Die Gesamtpunktzahl zeigt, ob das Unternehmen bereit ist, bezahlte Werbung zu schalten.</t>
  </si>
  <si>
    <t xml:space="preserve">Kundenname:</t>
  </si>
  <si>
    <t xml:space="preserve">Karl Brink Tischlereibetrieb GmbH</t>
  </si>
  <si>
    <t xml:space="preserve">Datum:</t>
  </si>
  <si>
    <t xml:space="preserve">Website:</t>
  </si>
  <si>
    <t xml:space="preserve">tischlerei-brink.de</t>
  </si>
  <si>
    <t xml:space="preserve">Berater:</t>
  </si>
  <si>
    <t xml:space="preserve">Stadt:</t>
  </si>
  <si>
    <t xml:space="preserve">Hamburg</t>
  </si>
  <si>
    <t xml:space="preserve">Branche:</t>
  </si>
  <si>
    <t xml:space="preserve">Tischlerei / Fenster &amp; Türen</t>
  </si>
  <si>
    <t xml:space="preserve">Nr.</t>
  </si>
  <si>
    <t xml:space="preserve">Prüfpunkt</t>
  </si>
  <si>
    <t xml:space="preserve">Bewertung (0-5)</t>
  </si>
  <si>
    <t xml:space="preserve">Status</t>
  </si>
  <si>
    <t xml:space="preserve">Hinweise / Handlungsbedarf</t>
  </si>
  <si>
    <t xml:space="preserve">  MARKE &amp; POSITIONIERUNG</t>
  </si>
  <si>
    <t xml:space="preserve">Klare Positionierung auf der Startseite?</t>
  </si>
  <si>
    <t xml:space="preserve">Weiß der Besucher in 5 Sekunden, was Sie tun und für wen?</t>
  </si>
  <si>
    <t xml:space="preserve">Einheitliches Erscheinungsbild überall?</t>
  </si>
  <si>
    <t xml:space="preserve">Website, Google-Profil, Fahrzeuge, Visitenkarten — alles gleich?</t>
  </si>
  <si>
    <t xml:space="preserve">Eigene Landingpage für Hauptleistung?</t>
  </si>
  <si>
    <t xml:space="preserve">Nicht nur die Startseite — eine Seite nur für Ihren wichtigsten Service.</t>
  </si>
  <si>
    <t xml:space="preserve">Klarer Unterschied zu Mitbewerbern?</t>
  </si>
  <si>
    <t xml:space="preserve">Was macht Sie besonders? Preis? Geschwindigkeit? Garantie? Spezialisierung?</t>
  </si>
  <si>
    <t xml:space="preserve">  VERTRAUEN &amp; BEWERTUNGEN</t>
  </si>
  <si>
    <t xml:space="preserve">Google Unternehmensprofil eingerichtet?</t>
  </si>
  <si>
    <t xml:space="preserve">Richtige Kategorien, Fotos, Einzugsgebiet, Öffnungszeiten, Beschreibung.</t>
  </si>
  <si>
    <t xml:space="preserve">Mindestens 10 echte Google-Bewertungen?</t>
  </si>
  <si>
    <t xml:space="preserve">Nur echte Bewertungen. Gefälschte = sofortige Disqualifikation.</t>
  </si>
  <si>
    <t xml:space="preserve">Durchschnittliche Google-Bewertung 4,5+?</t>
  </si>
  <si>
    <t xml:space="preserve">Unter 4,5 machen Anzeigen weniger Wirkung — Kunden prüfen das vor dem Anruf.</t>
  </si>
  <si>
    <t xml:space="preserve">Referenzprojekte oder Vorher/Nachher auf der Website?</t>
  </si>
  <si>
    <t xml:space="preserve">Fotos, Beschreibungen von tatsächlich abgeschlossenen Arbeiten.</t>
  </si>
  <si>
    <t xml:space="preserve">  TECHNISCHE BEREITSCHAFT</t>
  </si>
  <si>
    <t xml:space="preserve">Google Analytics / Tag Manager installiert?</t>
  </si>
  <si>
    <t xml:space="preserve">Können Sie nachverfolgen, wer die Website besucht?</t>
  </si>
  <si>
    <t xml:space="preserve">Conversion-Tracking eingerichtet (Anrufe + Formulare)?</t>
  </si>
  <si>
    <t xml:space="preserve">Ohne das können Sie den ROI der Werbeausgaben nicht messen.</t>
  </si>
  <si>
    <t xml:space="preserve">Mobiloptimierte Website (schnell, leicht anrufbar)?</t>
  </si>
  <si>
    <t xml:space="preserve">70%+ der lokalen Suchanfragen kommen vom Handy.</t>
  </si>
  <si>
    <t xml:space="preserve">Click-to-Call-Button gut sichtbar?</t>
  </si>
  <si>
    <t xml:space="preserve">Im Handwerk: Anrufe konvertieren 5-10x besser als Formulare.</t>
  </si>
  <si>
    <t xml:space="preserve">  BETRIEBLICHE BEREITSCHAFT</t>
  </si>
  <si>
    <t xml:space="preserve">Können Sie 5-10 zusätzliche Anfragen pro Woche bewältigen?</t>
  </si>
  <si>
    <t xml:space="preserve">Kein Sinn zu werben, wenn Sie keine Kapazität haben.</t>
  </si>
  <si>
    <t xml:space="preserve">Reaktionszeit unter 2 Stunden bei Anfragen?</t>
  </si>
  <si>
    <t xml:space="preserve">Schnelligkeit = wichtigster Faktor beim Abschluss lokaler Leads.</t>
  </si>
  <si>
    <t xml:space="preserve">Klare Preise oder Preisspannen verfügbar?</t>
  </si>
  <si>
    <t xml:space="preserve">Transparenz schafft Vertrauen und qualifiziert Interessenten vor.</t>
  </si>
  <si>
    <t xml:space="preserve">Nachfass-System für nicht-konvertierte Leads?</t>
  </si>
  <si>
    <t xml:space="preserve">CRM, Tabelle, oder mindestens eine Rückruf-Liste.</t>
  </si>
  <si>
    <t xml:space="preserve">  WETTBEWERBSPOSITION</t>
  </si>
  <si>
    <t xml:space="preserve">Top-3-Mitbewerber und deren Positionierung bekannt?</t>
  </si>
  <si>
    <t xml:space="preserve">Wissen Sie, gegen wen Sie bei Google bieten?</t>
  </si>
  <si>
    <t xml:space="preserve">Einzugsgebiet klar definiert?</t>
  </si>
  <si>
    <t xml:space="preserve">Geo-Targeting in Anzeigen braucht klare Grenzen.</t>
  </si>
  <si>
    <t xml:space="preserve">Saisonale Nachfragemuster verstanden?</t>
  </si>
  <si>
    <t xml:space="preserve">Budgetverteilung sollte der Nachfragekurve folgen.</t>
  </si>
  <si>
    <t xml:space="preserve">Empfehlungsprogramm oder Stammkunden-System vorhanden?</t>
  </si>
  <si>
    <t xml:space="preserve">Die günstigsten Leads kommen von bestehenden Kunden.</t>
  </si>
  <si>
    <t xml:space="preserve">GESAMTPUNKTZAHL</t>
  </si>
  <si>
    <t xml:space="preserve">von 100</t>
  </si>
  <si>
    <t xml:space="preserve">EMPFEHLUNG</t>
  </si>
  <si>
    <t xml:space="preserve">BEWERTUNG: 0 = Gar nicht vorhanden | 1 = Schlecht umgesetzt | 2 = Grundlegend/unvollständig | 3 = Ausreichend | 4 = Gut | 5 = Hervorragend</t>
  </si>
  <si>
    <t xml:space="preserve">SCHWELLENWERTE: 0-39 = Nicht bereit | 40-69 = Grundlagen zuerst | 70-100 = Bereit für Werbung</t>
  </si>
  <si>
    <t xml:space="preserve">KEYWORD-BUDGET &amp; ROI-RECHNER</t>
  </si>
  <si>
    <t xml:space="preserve">Gelbe Felder ausfüllen — alle Berechnungen aktualisieren sich automatisch.</t>
  </si>
  <si>
    <t xml:space="preserve">GRUNDANNAHMEN</t>
  </si>
  <si>
    <t xml:space="preserve">Monatliches Werbebudget</t>
  </si>
  <si>
    <t xml:space="preserve">← Ihr geplantes Google Ads Budget pro Monat</t>
  </si>
  <si>
    <t xml:space="preserve">Conversion-Rate der Landingpage</t>
  </si>
  <si>
    <t xml:space="preserve">← Anteil der Besucher, die anrufen oder Formular ausfüllen</t>
  </si>
  <si>
    <t xml:space="preserve">Abschlussquote (Lead → Kunde)</t>
  </si>
  <si>
    <t xml:space="preserve">← Anteil der Anfragen, die zu einem Auftrag werden</t>
  </si>
  <si>
    <t xml:space="preserve">Durchschnittlicher Auftragswert</t>
  </si>
  <si>
    <t xml:space="preserve">← Mittlerer Umsatz pro Auftrag</t>
  </si>
  <si>
    <t xml:space="preserve">KEYWORD-ANALYSE</t>
  </si>
  <si>
    <t xml:space="preserve">Keyword</t>
  </si>
  <si>
    <t xml:space="preserve">Ø CPC (€)</t>
  </si>
  <si>
    <t xml:space="preserve">Suchvolumen/Mo</t>
  </si>
  <si>
    <t xml:space="preserve">Klicks/Mo</t>
  </si>
  <si>
    <t xml:space="preserve">Anfragen/Mo</t>
  </si>
  <si>
    <t xml:space="preserve">Kunden/Mo</t>
  </si>
  <si>
    <t xml:space="preserve">Umsatz/Mo</t>
  </si>
  <si>
    <t xml:space="preserve">Fensterdichtung erneuern Hamburg</t>
  </si>
  <si>
    <t xml:space="preserve">Fenster undicht reparieren Hamburg</t>
  </si>
  <si>
    <t xml:space="preserve">Zugluft Fenster abdichten Hamburg</t>
  </si>
  <si>
    <t xml:space="preserve">Holzfenster Dichtung tauschen</t>
  </si>
  <si>
    <t xml:space="preserve">Tischler Notdienst Hamburg</t>
  </si>
  <si>
    <t xml:space="preserve">Fenster reparieren Hamburg</t>
  </si>
  <si>
    <t xml:space="preserve">Fensterwartung Hamburg</t>
  </si>
  <si>
    <t xml:space="preserve">Repair Care Holzfenster Hamburg</t>
  </si>
  <si>
    <t xml:space="preserve">Sicherheitstechnik Fenster Hamburg</t>
  </si>
  <si>
    <t xml:space="preserve">Dichtungstausch Fenster Kosten</t>
  </si>
  <si>
    <t xml:space="preserve">Fenster Notdienst Hamburg 24h</t>
  </si>
  <si>
    <t xml:space="preserve">Tischlerei Fenster Hamburg</t>
  </si>
  <si>
    <t xml:space="preserve">ROI-ZUSAMMENFASSUNG</t>
  </si>
  <si>
    <t xml:space="preserve">Monatliches Budget</t>
  </si>
  <si>
    <t xml:space="preserve">Bester Fall: Monatsumsatz (günstigstes Keyword)</t>
  </si>
  <si>
    <t xml:space="preserve">Schlechtester Fall: Monatsumsatz (teuerstes Keyword)</t>
  </si>
  <si>
    <t xml:space="preserve">Bester ROI</t>
  </si>
  <si>
    <t xml:space="preserve">Schlechtester ROI</t>
  </si>
  <si>
    <t xml:space="preserve">Hinweis: Die Klicks/Mo zeigen, wie viele Klicks Sie für Ihr GESAMTES Budget bei diesem CPC bekommen würden. In der Praxis verteilen Sie das Budget auf mehrere Keywords.</t>
  </si>
  <si>
    <t xml:space="preserve">90-TAGE-WACHSTUMSPLAN</t>
  </si>
  <si>
    <t xml:space="preserve">Arbeiten Sie die Aufgaben von oben nach unten ab. Gelbe Felder für Status-Tracking nutzen.</t>
  </si>
  <si>
    <t xml:space="preserve">Aufgabe</t>
  </si>
  <si>
    <t xml:space="preserve">Details / Anleitung</t>
  </si>
  <si>
    <t xml:space="preserve">Zuständig</t>
  </si>
  <si>
    <t xml:space="preserve">Fällig bis</t>
  </si>
  <si>
    <t xml:space="preserve">MONAT 1 — GRUNDLAGEN SCHAFFEN (noch keine Werbung!)</t>
  </si>
  <si>
    <t xml:space="preserve">Fake-Bewertungen von Website entfernen</t>
  </si>
  <si>
    <t xml:space="preserve">Die 137 erfundenen Bewertungen sofort entfernen. Echte Bewertungen zeigen oder Abschnitt komplett rausnehmen.</t>
  </si>
  <si>
    <t xml:space="preserve">Google Unternehmensprofil einrichten</t>
  </si>
  <si>
    <t xml:space="preserve">Kategorien: Tischlerei, Fensterreparatur, Türenreparatur. 10+ echte Arbeitsfotos hochladen. Einzugsgebiet festlegen.</t>
  </si>
  <si>
    <t xml:space="preserve">10-15 echte Google-Bewertungen sammeln</t>
  </si>
  <si>
    <t xml:space="preserve">Vergangene Kunden anrufen/anschreiben. Direkten Bewertungslink senden. Tempo: max. 1-2 pro Tag. Niemals mit Geld incentivieren.</t>
  </si>
  <si>
    <t xml:space="preserve">Eigene Landingpage für Dichtungstausch bauen</t>
  </si>
  <si>
    <t xml:space="preserve">Problem → Lösung → Beweis → Handlungsaufforderung. Fokus: Zugluft, hohe Heizkosten → Dichtungstausch → Bewertungen → Jetzt anrufen.</t>
  </si>
  <si>
    <t xml:space="preserve">Google Analytics + Tag Manager installieren</t>
  </si>
  <si>
    <t xml:space="preserve">Besucher, Seitenaufrufe, Formular-Absendungen tracken. Das ist die Mess-Grundlage.</t>
  </si>
  <si>
    <t xml:space="preserve">Anruf-Tracking einrichten</t>
  </si>
  <si>
    <t xml:space="preserve">Tracking-Nummer auf der Website verwenden (z.B. matelso). Anrufe den Anzeigen zuordnen können.</t>
  </si>
  <si>
    <t xml:space="preserve">Positionierung schärfen: EIN Haupt-Service wählen</t>
  </si>
  <si>
    <t xml:space="preserve">Empfehlung: Dichtungstausch zur Energieeinsparung. Damit überall führen.</t>
  </si>
  <si>
    <t xml:space="preserve">Website-Texte überarbeiten: Ergebnisse statt Features</t>
  </si>
  <si>
    <t xml:space="preserve">Statt 'Wir bieten Dichtungstausch' → 'Sparen Sie 500€+ Heizkosten — Dichtungstausch in einem Termin'.</t>
  </si>
  <si>
    <t xml:space="preserve">MONAT 2 — GOOGLE ADS STARTEN</t>
  </si>
  <si>
    <t xml:space="preserve">Google Suchanzeigen-Kampagne starten</t>
  </si>
  <si>
    <t xml:space="preserve">Mit 10-15 Long-Tail-Keywords starten. Budget 500-800€/Monat. Nur Suche, KEIN Display-Netzwerk.</t>
  </si>
  <si>
    <t xml:space="preserve">3 Anzeigenvarianten pro Keyword-Gruppe schreiben</t>
  </si>
  <si>
    <t xml:space="preserve">Ergebnisse betonen: Energieeinsparung, Kosten vs. neue Fenster, 24h Reaktion. Preisanker setzen.</t>
  </si>
  <si>
    <t xml:space="preserve">Conversion-Tracking in Google Ads einrichten</t>
  </si>
  <si>
    <t xml:space="preserve">Google Ads mit Analytics verknüpfen. Tracken: Anrufe, Formulare, Click-to-Call.</t>
  </si>
  <si>
    <t xml:space="preserve">Wöchentliche Optimierung: Keywords prüfen</t>
  </si>
  <si>
    <t xml:space="preserve">Jeden Freitag: Welche Keywords bringen Klicks? Welche Kunden? Underperformer nach 50+ Klicks ohne Conversion pausieren.</t>
  </si>
  <si>
    <t xml:space="preserve">Weiter Bewertungen sammeln (Ziel: 20+)</t>
  </si>
  <si>
    <t xml:space="preserve">Nach jedem abgeschlossenen Auftrag Kunden um Bewertung bitten. Um Fotos in der Bewertung bitten.</t>
  </si>
  <si>
    <t xml:space="preserve">Retargeting-Zielgruppe aufbauen</t>
  </si>
  <si>
    <t xml:space="preserve">Google Remarketing-Tag installieren. Zielgruppe aus Website-Besuchern für Monat 3 aufbauen.</t>
  </si>
  <si>
    <t xml:space="preserve">MONAT 3 — OPTIMIEREN &amp; SKALIEREN</t>
  </si>
  <si>
    <t xml:space="preserve">Auf erfolgreiche Keywords verdoppeln</t>
  </si>
  <si>
    <t xml:space="preserve">Budget auf die 3-5 besten Keywords erhöhen. Alles andere abschalten.</t>
  </si>
  <si>
    <t xml:space="preserve">Display-Retargeting starten</t>
  </si>
  <si>
    <t xml:space="preserve">100-200€/Monat. Anzeigen an Besucher zeigen, die nicht konvertiert haben. Einfach: Marke + Telefonnummer.</t>
  </si>
  <si>
    <t xml:space="preserve">Notdienst-Keyword-Kampagne hinzufügen</t>
  </si>
  <si>
    <t xml:space="preserve">Eigene Kampagne für Notfall-Keywords (höherer CPC, aber höhere Abschlussquote). 24h-Erreichbarkeit sicherstellen.</t>
  </si>
  <si>
    <t xml:space="preserve">Erste ROI-Analyse: kompletter Funnel</t>
  </si>
  <si>
    <t xml:space="preserve">Werbeausgaben → Klicks → Anfragen → Kunden → Umsatz. Echte Kosten pro Neukunde berechnen.</t>
  </si>
  <si>
    <t xml:space="preserve">Ziel: 25+ Google-Bewertungen</t>
  </si>
  <si>
    <t xml:space="preserve">Stetig weitermachen. Bewertungen verstärken sich gegenseitig — jede neue macht Anzeigen effektiver.</t>
  </si>
  <si>
    <t xml:space="preserve">Hausverwaltungen ansprechen (B2B)</t>
  </si>
  <si>
    <t xml:space="preserve">10 Hausverwaltungen in Hamburg identifizieren. Direktansprache mit Wartungsservice-Angebot.</t>
  </si>
  <si>
    <t xml:space="preserve">Empfehlungsprogramm aufbauen</t>
  </si>
  <si>
    <t xml:space="preserve">Zufriedene Kunden fragen: 'Kennen Sie jemanden mit demselben Problem?' Kostenloser Sicherheitscheck als Anreiz.</t>
  </si>
  <si>
    <t xml:space="preserve">MONATLICHER PERFORMANCE-TRACKER</t>
  </si>
  <si>
    <t xml:space="preserve">Jeden Monat die gelben Felder mit den tatsächlichen Werten füllen. Berechnete Kennzahlen aktualisieren sich automatisch.</t>
  </si>
  <si>
    <t xml:space="preserve">KENNZAHL</t>
  </si>
  <si>
    <t xml:space="preserve">Jan</t>
  </si>
  <si>
    <t xml:space="preserve">Feb</t>
  </si>
  <si>
    <t xml:space="preserve">Mär</t>
  </si>
  <si>
    <t xml:space="preserve">Apr</t>
  </si>
  <si>
    <t xml:space="preserve">Mai</t>
  </si>
  <si>
    <t xml:space="preserve">Jun</t>
  </si>
  <si>
    <t xml:space="preserve">Jul</t>
  </si>
  <si>
    <t xml:space="preserve">Aug</t>
  </si>
  <si>
    <t xml:space="preserve">Sep</t>
  </si>
  <si>
    <t xml:space="preserve">Okt</t>
  </si>
  <si>
    <t xml:space="preserve">Nov</t>
  </si>
  <si>
    <t xml:space="preserve">Dez</t>
  </si>
  <si>
    <t xml:space="preserve">Werbeausgaben (€)</t>
  </si>
  <si>
    <t xml:space="preserve">Impressionen</t>
  </si>
  <si>
    <t xml:space="preserve">Klicks</t>
  </si>
  <si>
    <t xml:space="preserve">Anrufe (aus Werbung)</t>
  </si>
  <si>
    <t xml:space="preserve">Formular-Anfragen</t>
  </si>
  <si>
    <t xml:space="preserve">Anfragen gesamt</t>
  </si>
  <si>
    <t xml:space="preserve">Gewonnene Kunden</t>
  </si>
  <si>
    <t xml:space="preserve">Umsatz aus Werbekunden (€)</t>
  </si>
  <si>
    <t xml:space="preserve">Google-Bewertungen (kumuliert)</t>
  </si>
  <si>
    <t xml:space="preserve">Website-Besucher (gesamt)</t>
  </si>
  <si>
    <t xml:space="preserve">BERECHNETE KENNZAHLEN (automatisch)</t>
  </si>
  <si>
    <t xml:space="preserve">Klickrate (CTR)</t>
  </si>
  <si>
    <t xml:space="preserve">Kosten pro Klick (CPC)</t>
  </si>
  <si>
    <t xml:space="preserve">Kosten pro Anfrage (CPL)</t>
  </si>
  <si>
    <t xml:space="preserve">Kosten pro Neukunde (CAC)</t>
  </si>
  <si>
    <t xml:space="preserve">Conversion-Rate (Klick→Anfrage)</t>
  </si>
  <si>
    <t xml:space="preserve">Abschlussquote (Anfrage→Kunde)</t>
  </si>
  <si>
    <t xml:space="preserve">Return on Ad Spend (ROAS)</t>
  </si>
  <si>
    <t xml:space="preserve">ROI</t>
  </si>
  <si>
    <t xml:space="preserve">KUNDEN-AVATAR-PROFILE</t>
  </si>
  <si>
    <t xml:space="preserve">Die drei wichtigsten Kundentypen für Karl Brink Tischlerei — mit Suchverhalten, Schmerzpunkten und Werbeempfehlungen.</t>
  </si>
  <si>
    <t xml:space="preserve">Eigenschaft</t>
  </si>
  <si>
    <t xml:space="preserve">"Besorgte Helga" — Hausbesitzerin</t>
  </si>
  <si>
    <t xml:space="preserve">"Notfall-Markus" — Akutfall</t>
  </si>
  <si>
    <t xml:space="preserve">"Verwalter Thomas" — Hausverwaltung</t>
  </si>
  <si>
    <t xml:space="preserve">Umsatzanteil</t>
  </si>
  <si>
    <t xml:space="preserve">60% des Umsatzes</t>
  </si>
  <si>
    <t xml:space="preserve">20% des Umsatzes</t>
  </si>
  <si>
    <t xml:space="preserve">20% (wiederkehrend)</t>
  </si>
  <si>
    <t xml:space="preserve">Alter</t>
  </si>
  <si>
    <t xml:space="preserve">45–70 Jahre</t>
  </si>
  <si>
    <t xml:space="preserve">30–55 Jahre</t>
  </si>
  <si>
    <t xml:space="preserve">35–60 Jahre</t>
  </si>
  <si>
    <t xml:space="preserve">Immobilientyp</t>
  </si>
  <si>
    <t xml:space="preserve">ETW oder Einfamilienhaus</t>
  </si>
  <si>
    <t xml:space="preserve">Beliebig — Haus oder Wohnung</t>
  </si>
  <si>
    <t xml:space="preserve">Verwaltet 5–50+ Einheiten</t>
  </si>
  <si>
    <t xml:space="preserve">Standort</t>
  </si>
  <si>
    <t xml:space="preserve">Hamburg-Nord, Wandsbek, Harburg</t>
  </si>
  <si>
    <t xml:space="preserve">Hamburg + 30km Radius</t>
  </si>
  <si>
    <t xml:space="preserve">Hamburg + Norddeutschland</t>
  </si>
  <si>
    <t xml:space="preserve">Fenstertyp</t>
  </si>
  <si>
    <t xml:space="preserve">Holzfenster aus den 80er/90er Jahren</t>
  </si>
  <si>
    <t xml:space="preserve">Beliebig — Defekt, Sturmschaden, Einbruch</t>
  </si>
  <si>
    <t xml:space="preserve">Gemischter Bestand — laufende Wartung</t>
  </si>
  <si>
    <t xml:space="preserve">Schmerzpunkte</t>
  </si>
  <si>
    <t xml:space="preserve">Zugluft im Winter, steigende Heizkosten,
Fenster schwer zu öffnen/schließen</t>
  </si>
  <si>
    <t xml:space="preserve">Fenster/Tür geht nicht mehr zu,
Sicherheitsproblem, dringend</t>
  </si>
  <si>
    <t xml:space="preserve">Braucht zuverlässigen Partner für
wiederkehrende Fenster-/Türprobleme</t>
  </si>
  <si>
    <t xml:space="preserve">Emotionaler Treiber</t>
  </si>
  <si>
    <t xml:space="preserve">Sorge um Energiekosten, Werterhalt
ohne große Renovierung</t>
  </si>
  <si>
    <t xml:space="preserve">Angst (Sicherheit), Frustration,
Zeitdruck</t>
  </si>
  <si>
    <t xml:space="preserve">Effizienz, Zuverlässigkeit,
ein Anruf löst alles</t>
  </si>
  <si>
    <t xml:space="preserve">Suchverhalten</t>
  </si>
  <si>
    <t xml:space="preserve">Google: 'Fenster undicht was tun',
'Fensterdichtung erneuern Hamburg'</t>
  </si>
  <si>
    <t xml:space="preserve">Google um 21 Uhr: 'Tischler Notdienst
Hamburg', 'Fenster Notdienst 24h'</t>
  </si>
  <si>
    <t xml:space="preserve">Sucht NICHT bei Google — verlässt
sich auf Netzwerk und Empfehlungen</t>
  </si>
  <si>
    <t xml:space="preserve">Bevorzugter Kontakt</t>
  </si>
  <si>
    <t xml:space="preserve">Telefonanruf (füllt KEINE
Web-Formulare aus)</t>
  </si>
  <si>
    <t xml:space="preserve">Telefonanruf — sofort.
Ruft die ERSTE Nummer an.</t>
  </si>
  <si>
    <t xml:space="preserve">E-Mail zuerst, dann Telefon
für laufende Beziehung</t>
  </si>
  <si>
    <t xml:space="preserve">Entscheidungsfaktoren</t>
  </si>
  <si>
    <t xml:space="preserve">Vertrauen, fairer Preis,
Meisterbetrieb, echte Bewertungen</t>
  </si>
  <si>
    <t xml:space="preserve">Geschwindigkeit &gt; Preis.
Wer zuerst reagiert, gewinnt.</t>
  </si>
  <si>
    <t xml:space="preserve">Zuverlässigkeit, einfache Rechnungen,
Mengenrabatt, Komplettservice</t>
  </si>
  <si>
    <t xml:space="preserve">Preissensibilität</t>
  </si>
  <si>
    <t xml:space="preserve">Mittel — will Preis-Leistung,
vergleicht 2-3 Angebote</t>
  </si>
  <si>
    <t xml:space="preserve">Gering — zahlt Aufpreis
für sofortigen Service</t>
  </si>
  <si>
    <t xml:space="preserve">Gering pro Auftrag — schätzt
Konstanz mehr als Billigstpreis</t>
  </si>
  <si>
    <t xml:space="preserve">Bester Werbe-Ansatz</t>
  </si>
  <si>
    <t xml:space="preserve">"Sparen Sie 500€+ Heizkosten —
Dichtungstausch statt teurer Fenstertausch"</t>
  </si>
  <si>
    <t xml:space="preserve">"24h Fenster-Notdienst Hamburg —
Rückmeldung garantiert in 24 Stunden"</t>
  </si>
  <si>
    <t xml:space="preserve">KEINE Werbung — B2B-Direktansprache.
'Kostenloser Sicherheitscheck für alle Objekte'</t>
  </si>
  <si>
    <t xml:space="preserve">Empfohlene Keywords</t>
  </si>
  <si>
    <t xml:space="preserve">Fensterdichtung erneuern,
Zugluft abdichten, Fenster undicht</t>
  </si>
  <si>
    <t xml:space="preserve">Tischler Notdienst Hamburg,
Fenster Notdienst 24h</t>
  </si>
  <si>
    <t xml:space="preserve">Entfällt — gewinnen durch
Akquise, nicht Suchanzeigen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</si>
</sst>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€&quot;"/>
    <numFmt numFmtId="166" formatCode="0%"/>
    <numFmt numFmtId="167" formatCode="#,##0.00&quot; €&quot;"/>
    <numFmt numFmtId="168" formatCode="#,##0"/>
    <numFmt numFmtId="169" formatCode="0.0%"/>
    <numFmt numFmtId="170" formatCode="0.0\x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2744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10"/>
      <color rgb="FF0000C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777777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4"/>
      <color rgb="FF1A2744"/>
      <name val="Arial"/>
      <family val="0"/>
      <charset val="1"/>
    </font>
    <font>
      <sz val="12"/>
      <color rgb="FF777777"/>
      <name val="Arial"/>
      <family val="0"/>
      <charset val="1"/>
    </font>
    <font>
      <b val="true"/>
      <sz val="13"/>
      <color rgb="FF1A2744"/>
      <name val="Arial"/>
      <family val="0"/>
      <charset val="1"/>
    </font>
    <font>
      <b val="true"/>
      <sz val="11"/>
      <color rgb="FF2D5BFF"/>
      <name val="Arial"/>
      <family val="0"/>
      <charset val="1"/>
    </font>
    <font>
      <b val="true"/>
      <sz val="13"/>
      <color rgb="FF2D5B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B7A3D"/>
      <name val="Arial"/>
      <family val="0"/>
      <charset val="1"/>
    </font>
    <font>
      <b val="true"/>
      <sz val="12"/>
      <color rgb="FF1A2744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0"/>
      <color rgb="FF2D5BFF"/>
      <name val="Arial"/>
      <family val="0"/>
      <charset val="1"/>
    </font>
    <font>
      <b val="true"/>
      <sz val="11"/>
      <color rgb="FF1A2744"/>
      <name val="Arial"/>
      <family val="0"/>
      <charset val="1"/>
    </font>
    <font>
      <b val="true"/>
      <sz val="10"/>
      <color rgb="FFC5303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8DD"/>
        <bgColor rgb="FFF5F5F5"/>
      </patternFill>
    </fill>
    <fill>
      <patternFill patternType="solid">
        <fgColor rgb="FF1A2744"/>
        <bgColor rgb="FF1A1A1A"/>
      </patternFill>
    </fill>
    <fill>
      <patternFill patternType="solid">
        <fgColor rgb="FF2D5BFF"/>
        <bgColor rgb="FF0066CC"/>
      </patternFill>
    </fill>
    <fill>
      <patternFill patternType="solid">
        <fgColor rgb="FFF5F5F5"/>
        <bgColor rgb="FFE6F4EA"/>
      </patternFill>
    </fill>
    <fill>
      <patternFill patternType="solid">
        <fgColor rgb="FF2E8B57"/>
        <bgColor rgb="FF1B7A3D"/>
      </patternFill>
    </fill>
    <fill>
      <patternFill patternType="solid">
        <fgColor rgb="FFB8860B"/>
        <bgColor rgb="FFFF9900"/>
      </patternFill>
    </fill>
    <fill>
      <patternFill patternType="solid">
        <fgColor rgb="FF8B4513"/>
        <bgColor rgb="FFC53030"/>
      </patternFill>
    </fill>
    <fill>
      <patternFill patternType="solid">
        <fgColor rgb="FF4B0082"/>
        <bgColor rgb="FF800080"/>
      </patternFill>
    </fill>
    <fill>
      <patternFill patternType="solid">
        <fgColor rgb="FFCC3300"/>
        <bgColor rgb="FFC53030"/>
      </patternFill>
    </fill>
    <fill>
      <patternFill patternType="solid">
        <fgColor rgb="FFE8EEFB"/>
        <bgColor rgb="FFE6F4EA"/>
      </patternFill>
    </fill>
    <fill>
      <patternFill patternType="solid">
        <fgColor rgb="FFFDE8E8"/>
        <bgColor rgb="FFF5F5F5"/>
      </patternFill>
    </fill>
    <fill>
      <patternFill patternType="solid">
        <fgColor rgb="FFE6F4EA"/>
        <bgColor rgb="FFE8EE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3300"/>
      <rgbColor rgb="FF00FF00"/>
      <rgbColor rgb="FF0000CC"/>
      <rgbColor rgb="FFFFFF00"/>
      <rgbColor rgb="FFFF00FF"/>
      <rgbColor rgb="FF00FFFF"/>
      <rgbColor rgb="FF800000"/>
      <rgbColor rgb="FF1B7A3D"/>
      <rgbColor rgb="FF000080"/>
      <rgbColor rgb="FFB8860B"/>
      <rgbColor rgb="FF800080"/>
      <rgbColor rgb="FF008080"/>
      <rgbColor rgb="FFC0C0C0"/>
      <rgbColor rgb="FF777777"/>
      <rgbColor rgb="FF9999FF"/>
      <rgbColor rgb="FF7B2D8E"/>
      <rgbColor rgb="FFFFF8DD"/>
      <rgbColor rgb="FFE6F4EA"/>
      <rgbColor rgb="FF4B0082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B"/>
      <rgbColor rgb="FFF5F5F5"/>
      <rgbColor rgb="FFFDE8E8"/>
      <rgbColor rgb="FF99CCFF"/>
      <rgbColor rgb="FFFF99CC"/>
      <rgbColor rgb="FFCC99FF"/>
      <rgbColor rgb="FFFFCC99"/>
      <rgbColor rgb="FF2D5BFF"/>
      <rgbColor rgb="FF33CCCC"/>
      <rgbColor rgb="FF99CC00"/>
      <rgbColor rgb="FFFFCC00"/>
      <rgbColor rgb="FFFF9900"/>
      <rgbColor rgb="FFFF6600"/>
      <rgbColor rgb="FF666699"/>
      <rgbColor rgb="FF969696"/>
      <rgbColor rgb="FF1A2744"/>
      <rgbColor rgb="FF2E8B57"/>
      <rgbColor rgb="FF003300"/>
      <rgbColor rgb="FF1A1A1A"/>
      <rgbColor rgb="FF8B4513"/>
      <rgbColor rgb="FFC53030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BFF"/>
    <pageSetUpPr fitToPage="false"/>
  </sheetPr>
  <dimension ref="A1:E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50"/>
  </cols>
  <sheetData>
    <row r="1" customFormat="false" ht="7.5" hidden="false" customHeight="true" outlineLevel="0" collapsed="false"/>
    <row r="2" customFormat="false" ht="30" hidden="false" customHeight="true" outlineLevel="0" collapsed="false">
      <c r="A2" s="1" t="s">
        <v>0</v>
      </c>
      <c r="B2" s="1"/>
      <c r="C2" s="1"/>
      <c r="D2" s="1"/>
      <c r="E2" s="1"/>
    </row>
    <row r="3" customFormat="false" ht="19.5" hidden="false" customHeight="true" outlineLevel="0" collapsed="false">
      <c r="A3" s="2" t="s">
        <v>1</v>
      </c>
      <c r="B3" s="2"/>
      <c r="C3" s="2"/>
      <c r="D3" s="2"/>
      <c r="E3" s="2"/>
    </row>
    <row r="4" customFormat="false" ht="7.5" hidden="false" customHeight="true" outlineLevel="0" collapsed="false"/>
    <row r="5" customFormat="false" ht="24" hidden="false" customHeight="true" outlineLevel="0" collapsed="false">
      <c r="A5" s="3" t="s">
        <v>2</v>
      </c>
      <c r="B5" s="4" t="s">
        <v>3</v>
      </c>
      <c r="C5" s="5"/>
      <c r="D5" s="3" t="s">
        <v>4</v>
      </c>
      <c r="E5" s="4"/>
    </row>
    <row r="6" customFormat="false" ht="24" hidden="false" customHeight="true" outlineLevel="0" collapsed="false">
      <c r="A6" s="3" t="s">
        <v>5</v>
      </c>
      <c r="B6" s="4" t="s">
        <v>6</v>
      </c>
      <c r="C6" s="5"/>
      <c r="D6" s="3" t="s">
        <v>7</v>
      </c>
      <c r="E6" s="4"/>
    </row>
    <row r="7" customFormat="false" ht="24" hidden="false" customHeight="true" outlineLevel="0" collapsed="false">
      <c r="A7" s="3" t="s">
        <v>8</v>
      </c>
      <c r="B7" s="4" t="s">
        <v>9</v>
      </c>
      <c r="C7" s="5"/>
      <c r="D7" s="3" t="s">
        <v>10</v>
      </c>
      <c r="E7" s="4" t="s">
        <v>11</v>
      </c>
    </row>
    <row r="8" customFormat="false" ht="9.75" hidden="false" customHeight="true" outlineLevel="0" collapsed="false"/>
    <row r="9" customFormat="false" ht="27.75" hidden="false" customHeight="true" outlineLevel="0" collapsed="false">
      <c r="A9" s="6" t="s">
        <v>12</v>
      </c>
      <c r="B9" s="6" t="s">
        <v>13</v>
      </c>
      <c r="C9" s="6" t="s">
        <v>14</v>
      </c>
      <c r="D9" s="6" t="s">
        <v>15</v>
      </c>
      <c r="E9" s="6" t="s">
        <v>16</v>
      </c>
    </row>
    <row r="10" customFormat="false" ht="27.75" hidden="false" customHeight="true" outlineLevel="0" collapsed="false">
      <c r="A10" s="7" t="s">
        <v>17</v>
      </c>
      <c r="B10" s="7"/>
      <c r="C10" s="7"/>
      <c r="D10" s="7"/>
      <c r="E10" s="7"/>
    </row>
    <row r="11" customFormat="false" ht="39.75" hidden="false" customHeight="true" outlineLevel="0" collapsed="false">
      <c r="A11" s="8" t="n">
        <v>1</v>
      </c>
      <c r="B11" s="9" t="s">
        <v>18</v>
      </c>
      <c r="C11" s="10"/>
      <c r="D11" s="11" t="str">
        <f aca="false">IF(C11="","",IF(C11&lt;=1,"KRITISCH",IF(C11&lt;=3,"NACHBESSERN","GUT")))</f>
        <v/>
      </c>
      <c r="E11" s="12" t="s">
        <v>19</v>
      </c>
    </row>
    <row r="12" customFormat="false" ht="39.75" hidden="false" customHeight="true" outlineLevel="0" collapsed="false">
      <c r="A12" s="13" t="n">
        <v>2</v>
      </c>
      <c r="B12" s="14" t="s">
        <v>20</v>
      </c>
      <c r="C12" s="10"/>
      <c r="D12" s="11" t="str">
        <f aca="false">IF(C12="","",IF(C12&lt;=1,"KRITISCH",IF(C12&lt;=3,"NACHBESSERN","GUT")))</f>
        <v/>
      </c>
      <c r="E12" s="15" t="s">
        <v>21</v>
      </c>
    </row>
    <row r="13" customFormat="false" ht="39.75" hidden="false" customHeight="true" outlineLevel="0" collapsed="false">
      <c r="A13" s="8" t="n">
        <v>3</v>
      </c>
      <c r="B13" s="9" t="s">
        <v>22</v>
      </c>
      <c r="C13" s="10"/>
      <c r="D13" s="11" t="str">
        <f aca="false">IF(C13="","",IF(C13&lt;=1,"KRITISCH",IF(C13&lt;=3,"NACHBESSERN","GUT")))</f>
        <v/>
      </c>
      <c r="E13" s="12" t="s">
        <v>23</v>
      </c>
    </row>
    <row r="14" customFormat="false" ht="39.75" hidden="false" customHeight="true" outlineLevel="0" collapsed="false">
      <c r="A14" s="13" t="n">
        <v>4</v>
      </c>
      <c r="B14" s="14" t="s">
        <v>24</v>
      </c>
      <c r="C14" s="10"/>
      <c r="D14" s="11" t="str">
        <f aca="false">IF(C14="","",IF(C14&lt;=1,"KRITISCH",IF(C14&lt;=3,"NACHBESSERN","GUT")))</f>
        <v/>
      </c>
      <c r="E14" s="15" t="s">
        <v>25</v>
      </c>
    </row>
    <row r="15" customFormat="false" ht="27.75" hidden="false" customHeight="true" outlineLevel="0" collapsed="false">
      <c r="A15" s="16" t="s">
        <v>26</v>
      </c>
      <c r="B15" s="16"/>
      <c r="C15" s="16"/>
      <c r="D15" s="16"/>
      <c r="E15" s="16"/>
    </row>
    <row r="16" customFormat="false" ht="39.75" hidden="false" customHeight="true" outlineLevel="0" collapsed="false">
      <c r="A16" s="8" t="n">
        <v>5</v>
      </c>
      <c r="B16" s="9" t="s">
        <v>27</v>
      </c>
      <c r="C16" s="10"/>
      <c r="D16" s="11" t="str">
        <f aca="false">IF(C16="","",IF(C16&lt;=1,"KRITISCH",IF(C16&lt;=3,"NACHBESSERN","GUT")))</f>
        <v/>
      </c>
      <c r="E16" s="12" t="s">
        <v>28</v>
      </c>
    </row>
    <row r="17" customFormat="false" ht="39.75" hidden="false" customHeight="true" outlineLevel="0" collapsed="false">
      <c r="A17" s="13" t="n">
        <v>6</v>
      </c>
      <c r="B17" s="14" t="s">
        <v>29</v>
      </c>
      <c r="C17" s="10"/>
      <c r="D17" s="11" t="str">
        <f aca="false">IF(C17="","",IF(C17&lt;=1,"KRITISCH",IF(C17&lt;=3,"NACHBESSERN","GUT")))</f>
        <v/>
      </c>
      <c r="E17" s="15" t="s">
        <v>30</v>
      </c>
    </row>
    <row r="18" customFormat="false" ht="39.75" hidden="false" customHeight="true" outlineLevel="0" collapsed="false">
      <c r="A18" s="8" t="n">
        <v>7</v>
      </c>
      <c r="B18" s="9" t="s">
        <v>31</v>
      </c>
      <c r="C18" s="10"/>
      <c r="D18" s="11" t="str">
        <f aca="false">IF(C18="","",IF(C18&lt;=1,"KRITISCH",IF(C18&lt;=3,"NACHBESSERN","GUT")))</f>
        <v/>
      </c>
      <c r="E18" s="12" t="s">
        <v>32</v>
      </c>
    </row>
    <row r="19" customFormat="false" ht="39.75" hidden="false" customHeight="true" outlineLevel="0" collapsed="false">
      <c r="A19" s="13" t="n">
        <v>8</v>
      </c>
      <c r="B19" s="14" t="s">
        <v>33</v>
      </c>
      <c r="C19" s="10"/>
      <c r="D19" s="11" t="str">
        <f aca="false">IF(C19="","",IF(C19&lt;=1,"KRITISCH",IF(C19&lt;=3,"NACHBESSERN","GUT")))</f>
        <v/>
      </c>
      <c r="E19" s="15" t="s">
        <v>34</v>
      </c>
    </row>
    <row r="20" customFormat="false" ht="27.75" hidden="false" customHeight="true" outlineLevel="0" collapsed="false">
      <c r="A20" s="17" t="s">
        <v>35</v>
      </c>
      <c r="B20" s="17"/>
      <c r="C20" s="17"/>
      <c r="D20" s="17"/>
      <c r="E20" s="17"/>
    </row>
    <row r="21" customFormat="false" ht="39.75" hidden="false" customHeight="true" outlineLevel="0" collapsed="false">
      <c r="A21" s="8" t="n">
        <v>9</v>
      </c>
      <c r="B21" s="9" t="s">
        <v>36</v>
      </c>
      <c r="C21" s="10"/>
      <c r="D21" s="11" t="str">
        <f aca="false">IF(C21="","",IF(C21&lt;=1,"KRITISCH",IF(C21&lt;=3,"NACHBESSERN","GUT")))</f>
        <v/>
      </c>
      <c r="E21" s="12" t="s">
        <v>37</v>
      </c>
    </row>
    <row r="22" customFormat="false" ht="39.75" hidden="false" customHeight="true" outlineLevel="0" collapsed="false">
      <c r="A22" s="13" t="n">
        <v>10</v>
      </c>
      <c r="B22" s="14" t="s">
        <v>38</v>
      </c>
      <c r="C22" s="10"/>
      <c r="D22" s="11" t="str">
        <f aca="false">IF(C22="","",IF(C22&lt;=1,"KRITISCH",IF(C22&lt;=3,"NACHBESSERN","GUT")))</f>
        <v/>
      </c>
      <c r="E22" s="15" t="s">
        <v>39</v>
      </c>
    </row>
    <row r="23" customFormat="false" ht="39.75" hidden="false" customHeight="true" outlineLevel="0" collapsed="false">
      <c r="A23" s="8" t="n">
        <v>11</v>
      </c>
      <c r="B23" s="9" t="s">
        <v>40</v>
      </c>
      <c r="C23" s="10"/>
      <c r="D23" s="11" t="str">
        <f aca="false">IF(C23="","",IF(C23&lt;=1,"KRITISCH",IF(C23&lt;=3,"NACHBESSERN","GUT")))</f>
        <v/>
      </c>
      <c r="E23" s="12" t="s">
        <v>41</v>
      </c>
    </row>
    <row r="24" customFormat="false" ht="39.75" hidden="false" customHeight="true" outlineLevel="0" collapsed="false">
      <c r="A24" s="13" t="n">
        <v>12</v>
      </c>
      <c r="B24" s="14" t="s">
        <v>42</v>
      </c>
      <c r="C24" s="10"/>
      <c r="D24" s="11" t="str">
        <f aca="false">IF(C24="","",IF(C24&lt;=1,"KRITISCH",IF(C24&lt;=3,"NACHBESSERN","GUT")))</f>
        <v/>
      </c>
      <c r="E24" s="15" t="s">
        <v>43</v>
      </c>
    </row>
    <row r="25" customFormat="false" ht="27.75" hidden="false" customHeight="true" outlineLevel="0" collapsed="false">
      <c r="A25" s="18" t="s">
        <v>44</v>
      </c>
      <c r="B25" s="18"/>
      <c r="C25" s="18"/>
      <c r="D25" s="18"/>
      <c r="E25" s="18"/>
    </row>
    <row r="26" customFormat="false" ht="39.75" hidden="false" customHeight="true" outlineLevel="0" collapsed="false">
      <c r="A26" s="8" t="n">
        <v>13</v>
      </c>
      <c r="B26" s="9" t="s">
        <v>45</v>
      </c>
      <c r="C26" s="10"/>
      <c r="D26" s="11" t="str">
        <f aca="false">IF(C26="","",IF(C26&lt;=1,"KRITISCH",IF(C26&lt;=3,"NACHBESSERN","GUT")))</f>
        <v/>
      </c>
      <c r="E26" s="12" t="s">
        <v>46</v>
      </c>
    </row>
    <row r="27" customFormat="false" ht="39.75" hidden="false" customHeight="true" outlineLevel="0" collapsed="false">
      <c r="A27" s="13" t="n">
        <v>14</v>
      </c>
      <c r="B27" s="14" t="s">
        <v>47</v>
      </c>
      <c r="C27" s="10"/>
      <c r="D27" s="11" t="str">
        <f aca="false">IF(C27="","",IF(C27&lt;=1,"KRITISCH",IF(C27&lt;=3,"NACHBESSERN","GUT")))</f>
        <v/>
      </c>
      <c r="E27" s="15" t="s">
        <v>48</v>
      </c>
    </row>
    <row r="28" customFormat="false" ht="39.75" hidden="false" customHeight="true" outlineLevel="0" collapsed="false">
      <c r="A28" s="8" t="n">
        <v>15</v>
      </c>
      <c r="B28" s="9" t="s">
        <v>49</v>
      </c>
      <c r="C28" s="10"/>
      <c r="D28" s="11" t="str">
        <f aca="false">IF(C28="","",IF(C28&lt;=1,"KRITISCH",IF(C28&lt;=3,"NACHBESSERN","GUT")))</f>
        <v/>
      </c>
      <c r="E28" s="12" t="s">
        <v>50</v>
      </c>
    </row>
    <row r="29" customFormat="false" ht="39.75" hidden="false" customHeight="true" outlineLevel="0" collapsed="false">
      <c r="A29" s="13" t="n">
        <v>16</v>
      </c>
      <c r="B29" s="14" t="s">
        <v>51</v>
      </c>
      <c r="C29" s="10"/>
      <c r="D29" s="11" t="str">
        <f aca="false">IF(C29="","",IF(C29&lt;=1,"KRITISCH",IF(C29&lt;=3,"NACHBESSERN","GUT")))</f>
        <v/>
      </c>
      <c r="E29" s="15" t="s">
        <v>52</v>
      </c>
    </row>
    <row r="30" customFormat="false" ht="27.75" hidden="false" customHeight="true" outlineLevel="0" collapsed="false">
      <c r="A30" s="19" t="s">
        <v>53</v>
      </c>
      <c r="B30" s="19"/>
      <c r="C30" s="19"/>
      <c r="D30" s="19"/>
      <c r="E30" s="19"/>
    </row>
    <row r="31" customFormat="false" ht="39.75" hidden="false" customHeight="true" outlineLevel="0" collapsed="false">
      <c r="A31" s="8" t="n">
        <v>17</v>
      </c>
      <c r="B31" s="9" t="s">
        <v>54</v>
      </c>
      <c r="C31" s="10"/>
      <c r="D31" s="11" t="str">
        <f aca="false">IF(C31="","",IF(C31&lt;=1,"KRITISCH",IF(C31&lt;=3,"NACHBESSERN","GUT")))</f>
        <v/>
      </c>
      <c r="E31" s="12" t="s">
        <v>55</v>
      </c>
    </row>
    <row r="32" customFormat="false" ht="39.75" hidden="false" customHeight="true" outlineLevel="0" collapsed="false">
      <c r="A32" s="13" t="n">
        <v>18</v>
      </c>
      <c r="B32" s="14" t="s">
        <v>56</v>
      </c>
      <c r="C32" s="10"/>
      <c r="D32" s="11" t="str">
        <f aca="false">IF(C32="","",IF(C32&lt;=1,"KRITISCH",IF(C32&lt;=3,"NACHBESSERN","GUT")))</f>
        <v/>
      </c>
      <c r="E32" s="15" t="s">
        <v>57</v>
      </c>
    </row>
    <row r="33" customFormat="false" ht="39.75" hidden="false" customHeight="true" outlineLevel="0" collapsed="false">
      <c r="A33" s="8" t="n">
        <v>19</v>
      </c>
      <c r="B33" s="9" t="s">
        <v>58</v>
      </c>
      <c r="C33" s="10"/>
      <c r="D33" s="11" t="str">
        <f aca="false">IF(C33="","",IF(C33&lt;=1,"KRITISCH",IF(C33&lt;=3,"NACHBESSERN","GUT")))</f>
        <v/>
      </c>
      <c r="E33" s="12" t="s">
        <v>59</v>
      </c>
    </row>
    <row r="34" customFormat="false" ht="39.75" hidden="false" customHeight="true" outlineLevel="0" collapsed="false">
      <c r="A34" s="13" t="n">
        <v>20</v>
      </c>
      <c r="B34" s="14" t="s">
        <v>60</v>
      </c>
      <c r="C34" s="10"/>
      <c r="D34" s="11" t="str">
        <f aca="false">IF(C34="","",IF(C34&lt;=1,"KRITISCH",IF(C34&lt;=3,"NACHBESSERN","GUT")))</f>
        <v/>
      </c>
      <c r="E34" s="15" t="s">
        <v>61</v>
      </c>
    </row>
    <row r="36" customFormat="false" ht="9.75" hidden="false" customHeight="true" outlineLevel="0" collapsed="false"/>
    <row r="37" customFormat="false" ht="34.5" hidden="false" customHeight="true" outlineLevel="0" collapsed="false">
      <c r="A37" s="20" t="s">
        <v>62</v>
      </c>
      <c r="B37" s="20"/>
      <c r="C37" s="21" t="n">
        <f aca="false">IF(C11="",0,C11)+IF(C12="",0,C12)+IF(C13="",0,C13)+IF(C14="",0,C14)+IF(C16="",0,C16)+IF(C17="",0,C17)+IF(C18="",0,C18)+IF(C19="",0,C19)+IF(C21="",0,C21)+IF(C22="",0,C22)+IF(C23="",0,C23)+IF(C24="",0,C24)+IF(C26="",0,C26)+IF(C27="",0,C27)+IF(C28="",0,C28)+IF(C29="",0,C29)+IF(C31="",0,C31)+IF(C32="",0,C32)+IF(C33="",0,C33)+IF(C34="",0,C34)</f>
        <v>0</v>
      </c>
      <c r="D37" s="22" t="s">
        <v>63</v>
      </c>
    </row>
    <row r="39" customFormat="false" ht="30" hidden="false" customHeight="true" outlineLevel="0" collapsed="false">
      <c r="A39" s="23" t="s">
        <v>64</v>
      </c>
      <c r="B39" s="23"/>
      <c r="C39" s="24" t="str">
        <f aca="false">IF(C37&gt;=70,"BEREIT FÜR WERBUNG — Anzeigen starten!",IF(C37&gt;=40,"ERST GRUNDLAGEN VERBESSERN — noch nicht werben","NICHT BEREIT — grundlegende Lücken schließen"))</f>
        <v>NICHT BEREIT — grundlegende Lücken schließen</v>
      </c>
      <c r="D39" s="24"/>
      <c r="E39" s="24"/>
    </row>
    <row r="41" customFormat="false" ht="15" hidden="false" customHeight="false" outlineLevel="0" collapsed="false">
      <c r="A41" s="25" t="s">
        <v>65</v>
      </c>
      <c r="B41" s="25"/>
      <c r="C41" s="25"/>
      <c r="D41" s="25"/>
      <c r="E41" s="25"/>
    </row>
    <row r="42" customFormat="false" ht="15" hidden="false" customHeight="false" outlineLevel="0" collapsed="false">
      <c r="A42" s="25" t="s">
        <v>66</v>
      </c>
      <c r="B42" s="25"/>
      <c r="C42" s="25"/>
      <c r="D42" s="25"/>
      <c r="E42" s="25"/>
    </row>
  </sheetData>
  <mergeCells count="12">
    <mergeCell ref="A2:E2"/>
    <mergeCell ref="A3:E3"/>
    <mergeCell ref="A10:E10"/>
    <mergeCell ref="A15:E15"/>
    <mergeCell ref="A20:E20"/>
    <mergeCell ref="A25:E25"/>
    <mergeCell ref="A30:E30"/>
    <mergeCell ref="A37:B37"/>
    <mergeCell ref="A39:B39"/>
    <mergeCell ref="C39:E39"/>
    <mergeCell ref="A41:E41"/>
    <mergeCell ref="A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B57"/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6" min="4" style="0" width="16"/>
    <col collapsed="false" customWidth="true" hidden="false" outlineLevel="0" max="7" min="7" style="0" width="18"/>
  </cols>
  <sheetData>
    <row r="1" customFormat="false" ht="7.5" hidden="false" customHeight="true" outlineLevel="0" collapsed="false"/>
    <row r="2" customFormat="false" ht="30" hidden="false" customHeight="true" outlineLevel="0" collapsed="false">
      <c r="A2" s="1" t="s">
        <v>67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 t="s">
        <v>68</v>
      </c>
      <c r="B3" s="2"/>
      <c r="C3" s="2"/>
      <c r="D3" s="2"/>
      <c r="E3" s="2"/>
      <c r="F3" s="2"/>
      <c r="G3" s="2"/>
    </row>
    <row r="4" customFormat="false" ht="7.5" hidden="false" customHeight="true" outlineLevel="0" collapsed="false"/>
    <row r="5" customFormat="false" ht="25.5" hidden="false" customHeight="true" outlineLevel="0" collapsed="false">
      <c r="A5" s="26" t="s">
        <v>69</v>
      </c>
      <c r="B5" s="26"/>
    </row>
    <row r="6" customFormat="false" ht="25.5" hidden="false" customHeight="true" outlineLevel="0" collapsed="false">
      <c r="A6" s="27" t="s">
        <v>70</v>
      </c>
      <c r="B6" s="28" t="n">
        <v>600</v>
      </c>
      <c r="C6" s="25" t="s">
        <v>71</v>
      </c>
      <c r="D6" s="25"/>
    </row>
    <row r="7" customFormat="false" ht="25.5" hidden="false" customHeight="true" outlineLevel="0" collapsed="false">
      <c r="A7" s="27" t="s">
        <v>72</v>
      </c>
      <c r="B7" s="29" t="n">
        <v>0.1</v>
      </c>
      <c r="C7" s="25" t="s">
        <v>73</v>
      </c>
      <c r="D7" s="25"/>
    </row>
    <row r="8" customFormat="false" ht="25.5" hidden="false" customHeight="true" outlineLevel="0" collapsed="false">
      <c r="A8" s="27" t="s">
        <v>74</v>
      </c>
      <c r="B8" s="29" t="n">
        <v>0.35</v>
      </c>
      <c r="C8" s="25" t="s">
        <v>75</v>
      </c>
      <c r="D8" s="25"/>
    </row>
    <row r="9" customFormat="false" ht="25.5" hidden="false" customHeight="true" outlineLevel="0" collapsed="false">
      <c r="A9" s="27" t="s">
        <v>76</v>
      </c>
      <c r="B9" s="28" t="n">
        <v>500</v>
      </c>
      <c r="C9" s="25" t="s">
        <v>77</v>
      </c>
      <c r="D9" s="25"/>
    </row>
    <row r="10" customFormat="false" ht="9.75" hidden="false" customHeight="true" outlineLevel="0" collapsed="false"/>
    <row r="11" customFormat="false" ht="25.5" hidden="false" customHeight="true" outlineLevel="0" collapsed="false">
      <c r="A11" s="26" t="s">
        <v>78</v>
      </c>
      <c r="B11" s="26"/>
      <c r="C11" s="26"/>
      <c r="D11" s="26"/>
      <c r="E11" s="26"/>
      <c r="F11" s="26"/>
      <c r="G11" s="26"/>
    </row>
    <row r="12" customFormat="false" ht="27.75" hidden="false" customHeight="true" outlineLevel="0" collapsed="false">
      <c r="A12" s="6" t="s">
        <v>79</v>
      </c>
      <c r="B12" s="6" t="s">
        <v>80</v>
      </c>
      <c r="C12" s="6" t="s">
        <v>81</v>
      </c>
      <c r="D12" s="6" t="s">
        <v>82</v>
      </c>
      <c r="E12" s="6" t="s">
        <v>83</v>
      </c>
      <c r="F12" s="6" t="s">
        <v>84</v>
      </c>
      <c r="G12" s="6" t="s">
        <v>85</v>
      </c>
    </row>
    <row r="13" customFormat="false" ht="25.5" hidden="false" customHeight="true" outlineLevel="0" collapsed="false">
      <c r="A13" s="30" t="s">
        <v>86</v>
      </c>
      <c r="B13" s="31" t="n">
        <v>3.5</v>
      </c>
      <c r="C13" s="10" t="n">
        <v>210</v>
      </c>
      <c r="D13" s="32" t="n">
        <f aca="false">IF(OR(B13="",B13=0),"",ROUND(B$6/B13,0))</f>
        <v>171</v>
      </c>
      <c r="E13" s="32" t="n">
        <f aca="false">IF(D13="","",ROUND(D13*B$7,1))</f>
        <v>17.1</v>
      </c>
      <c r="F13" s="32" t="n">
        <f aca="false">IF(E13="","",ROUND(E13*B$8,1))</f>
        <v>6</v>
      </c>
      <c r="G13" s="33" t="n">
        <f aca="false">IF(F13="","",ROUND(F13*B$9,0))</f>
        <v>3000</v>
      </c>
    </row>
    <row r="14" customFormat="false" ht="25.5" hidden="false" customHeight="true" outlineLevel="0" collapsed="false">
      <c r="A14" s="34" t="s">
        <v>87</v>
      </c>
      <c r="B14" s="35" t="n">
        <v>4.2</v>
      </c>
      <c r="C14" s="36" t="n">
        <v>170</v>
      </c>
      <c r="D14" s="37" t="n">
        <f aca="false">IF(OR(B14="",B14=0),"",ROUND(B$6/B14,0))</f>
        <v>143</v>
      </c>
      <c r="E14" s="37" t="n">
        <f aca="false">IF(D14="","",ROUND(D14*B$7,1))</f>
        <v>14.3</v>
      </c>
      <c r="F14" s="37" t="n">
        <f aca="false">IF(E14="","",ROUND(E14*B$8,1))</f>
        <v>5</v>
      </c>
      <c r="G14" s="38" t="n">
        <f aca="false">IF(F14="","",ROUND(F14*B$9,0))</f>
        <v>2500</v>
      </c>
    </row>
    <row r="15" customFormat="false" ht="25.5" hidden="false" customHeight="true" outlineLevel="0" collapsed="false">
      <c r="A15" s="30" t="s">
        <v>88</v>
      </c>
      <c r="B15" s="31" t="n">
        <v>2.8</v>
      </c>
      <c r="C15" s="10" t="n">
        <v>140</v>
      </c>
      <c r="D15" s="32" t="n">
        <f aca="false">IF(OR(B15="",B15=0),"",ROUND(B$6/B15,0))</f>
        <v>214</v>
      </c>
      <c r="E15" s="32" t="n">
        <f aca="false">IF(D15="","",ROUND(D15*B$7,1))</f>
        <v>21.4</v>
      </c>
      <c r="F15" s="32" t="n">
        <f aca="false">IF(E15="","",ROUND(E15*B$8,1))</f>
        <v>7.5</v>
      </c>
      <c r="G15" s="33" t="n">
        <f aca="false">IF(F15="","",ROUND(F15*B$9,0))</f>
        <v>3750</v>
      </c>
    </row>
    <row r="16" customFormat="false" ht="25.5" hidden="false" customHeight="true" outlineLevel="0" collapsed="false">
      <c r="A16" s="34" t="s">
        <v>89</v>
      </c>
      <c r="B16" s="35" t="n">
        <v>3</v>
      </c>
      <c r="C16" s="36" t="n">
        <v>120</v>
      </c>
      <c r="D16" s="37" t="n">
        <f aca="false">IF(OR(B16="",B16=0),"",ROUND(B$6/B16,0))</f>
        <v>200</v>
      </c>
      <c r="E16" s="37" t="n">
        <f aca="false">IF(D16="","",ROUND(D16*B$7,1))</f>
        <v>20</v>
      </c>
      <c r="F16" s="37" t="n">
        <f aca="false">IF(E16="","",ROUND(E16*B$8,1))</f>
        <v>7</v>
      </c>
      <c r="G16" s="38" t="n">
        <f aca="false">IF(F16="","",ROUND(F16*B$9,0))</f>
        <v>3500</v>
      </c>
    </row>
    <row r="17" customFormat="false" ht="25.5" hidden="false" customHeight="true" outlineLevel="0" collapsed="false">
      <c r="A17" s="30" t="s">
        <v>90</v>
      </c>
      <c r="B17" s="31" t="n">
        <v>6.5</v>
      </c>
      <c r="C17" s="10" t="n">
        <v>320</v>
      </c>
      <c r="D17" s="32" t="n">
        <f aca="false">IF(OR(B17="",B17=0),"",ROUND(B$6/B17,0))</f>
        <v>92</v>
      </c>
      <c r="E17" s="32" t="n">
        <f aca="false">IF(D17="","",ROUND(D17*B$7,1))</f>
        <v>9.2</v>
      </c>
      <c r="F17" s="32" t="n">
        <f aca="false">IF(E17="","",ROUND(E17*B$8,1))</f>
        <v>3.2</v>
      </c>
      <c r="G17" s="33" t="n">
        <f aca="false">IF(F17="","",ROUND(F17*B$9,0))</f>
        <v>1600</v>
      </c>
    </row>
    <row r="18" customFormat="false" ht="25.5" hidden="false" customHeight="true" outlineLevel="0" collapsed="false">
      <c r="A18" s="34" t="s">
        <v>91</v>
      </c>
      <c r="B18" s="35" t="n">
        <v>5.2</v>
      </c>
      <c r="C18" s="36" t="n">
        <v>280</v>
      </c>
      <c r="D18" s="37" t="n">
        <f aca="false">IF(OR(B18="",B18=0),"",ROUND(B$6/B18,0))</f>
        <v>115</v>
      </c>
      <c r="E18" s="37" t="n">
        <f aca="false">IF(D18="","",ROUND(D18*B$7,1))</f>
        <v>11.5</v>
      </c>
      <c r="F18" s="37" t="n">
        <f aca="false">IF(E18="","",ROUND(E18*B$8,1))</f>
        <v>4</v>
      </c>
      <c r="G18" s="38" t="n">
        <f aca="false">IF(F18="","",ROUND(F18*B$9,0))</f>
        <v>2000</v>
      </c>
    </row>
    <row r="19" customFormat="false" ht="25.5" hidden="false" customHeight="true" outlineLevel="0" collapsed="false">
      <c r="A19" s="30" t="s">
        <v>92</v>
      </c>
      <c r="B19" s="31" t="n">
        <v>2.5</v>
      </c>
      <c r="C19" s="10" t="n">
        <v>90</v>
      </c>
      <c r="D19" s="32" t="n">
        <f aca="false">IF(OR(B19="",B19=0),"",ROUND(B$6/B19,0))</f>
        <v>240</v>
      </c>
      <c r="E19" s="32" t="n">
        <f aca="false">IF(D19="","",ROUND(D19*B$7,1))</f>
        <v>24</v>
      </c>
      <c r="F19" s="32" t="n">
        <f aca="false">IF(E19="","",ROUND(E19*B$8,1))</f>
        <v>8.4</v>
      </c>
      <c r="G19" s="33" t="n">
        <f aca="false">IF(F19="","",ROUND(F19*B$9,0))</f>
        <v>4200</v>
      </c>
    </row>
    <row r="20" customFormat="false" ht="25.5" hidden="false" customHeight="true" outlineLevel="0" collapsed="false">
      <c r="A20" s="34" t="s">
        <v>93</v>
      </c>
      <c r="B20" s="35" t="n">
        <v>1.8</v>
      </c>
      <c r="C20" s="36" t="n">
        <v>40</v>
      </c>
      <c r="D20" s="37" t="n">
        <f aca="false">IF(OR(B20="",B20=0),"",ROUND(B$6/B20,0))</f>
        <v>333</v>
      </c>
      <c r="E20" s="37" t="n">
        <f aca="false">IF(D20="","",ROUND(D20*B$7,1))</f>
        <v>33.3</v>
      </c>
      <c r="F20" s="37" t="n">
        <f aca="false">IF(E20="","",ROUND(E20*B$8,1))</f>
        <v>11.7</v>
      </c>
      <c r="G20" s="38" t="n">
        <f aca="false">IF(F20="","",ROUND(F20*B$9,0))</f>
        <v>5850</v>
      </c>
    </row>
    <row r="21" customFormat="false" ht="25.5" hidden="false" customHeight="true" outlineLevel="0" collapsed="false">
      <c r="A21" s="30" t="s">
        <v>94</v>
      </c>
      <c r="B21" s="31" t="n">
        <v>4</v>
      </c>
      <c r="C21" s="10" t="n">
        <v>60</v>
      </c>
      <c r="D21" s="32" t="n">
        <f aca="false">IF(OR(B21="",B21=0),"",ROUND(B$6/B21,0))</f>
        <v>150</v>
      </c>
      <c r="E21" s="32" t="n">
        <f aca="false">IF(D21="","",ROUND(D21*B$7,1))</f>
        <v>15</v>
      </c>
      <c r="F21" s="32" t="n">
        <f aca="false">IF(E21="","",ROUND(E21*B$8,1))</f>
        <v>5.3</v>
      </c>
      <c r="G21" s="33" t="n">
        <f aca="false">IF(F21="","",ROUND(F21*B$9,0))</f>
        <v>2650</v>
      </c>
    </row>
    <row r="22" customFormat="false" ht="25.5" hidden="false" customHeight="true" outlineLevel="0" collapsed="false">
      <c r="A22" s="34" t="s">
        <v>95</v>
      </c>
      <c r="B22" s="35" t="n">
        <v>2.2</v>
      </c>
      <c r="C22" s="36" t="n">
        <v>150</v>
      </c>
      <c r="D22" s="37" t="n">
        <f aca="false">IF(OR(B22="",B22=0),"",ROUND(B$6/B22,0))</f>
        <v>273</v>
      </c>
      <c r="E22" s="37" t="n">
        <f aca="false">IF(D22="","",ROUND(D22*B$7,1))</f>
        <v>27.3</v>
      </c>
      <c r="F22" s="37" t="n">
        <f aca="false">IF(E22="","",ROUND(E22*B$8,1))</f>
        <v>9.6</v>
      </c>
      <c r="G22" s="38" t="n">
        <f aca="false">IF(F22="","",ROUND(F22*B$9,0))</f>
        <v>4800</v>
      </c>
    </row>
    <row r="23" customFormat="false" ht="25.5" hidden="false" customHeight="true" outlineLevel="0" collapsed="false">
      <c r="A23" s="30" t="s">
        <v>96</v>
      </c>
      <c r="B23" s="31" t="n">
        <v>7</v>
      </c>
      <c r="C23" s="10" t="n">
        <v>180</v>
      </c>
      <c r="D23" s="32" t="n">
        <f aca="false">IF(OR(B23="",B23=0),"",ROUND(B$6/B23,0))</f>
        <v>86</v>
      </c>
      <c r="E23" s="32" t="n">
        <f aca="false">IF(D23="","",ROUND(D23*B$7,1))</f>
        <v>8.6</v>
      </c>
      <c r="F23" s="32" t="n">
        <f aca="false">IF(E23="","",ROUND(E23*B$8,1))</f>
        <v>3</v>
      </c>
      <c r="G23" s="33" t="n">
        <f aca="false">IF(F23="","",ROUND(F23*B$9,0))</f>
        <v>1500</v>
      </c>
    </row>
    <row r="24" customFormat="false" ht="25.5" hidden="false" customHeight="true" outlineLevel="0" collapsed="false">
      <c r="A24" s="34" t="s">
        <v>97</v>
      </c>
      <c r="B24" s="35" t="n">
        <v>4.5</v>
      </c>
      <c r="C24" s="36" t="n">
        <v>200</v>
      </c>
      <c r="D24" s="37" t="n">
        <f aca="false">IF(OR(B24="",B24=0),"",ROUND(B$6/B24,0))</f>
        <v>133</v>
      </c>
      <c r="E24" s="37" t="n">
        <f aca="false">IF(D24="","",ROUND(D24*B$7,1))</f>
        <v>13.3</v>
      </c>
      <c r="F24" s="37" t="n">
        <f aca="false">IF(E24="","",ROUND(E24*B$8,1))</f>
        <v>4.7</v>
      </c>
      <c r="G24" s="38" t="n">
        <f aca="false">IF(F24="","",ROUND(F24*B$9,0))</f>
        <v>2350</v>
      </c>
    </row>
    <row r="25" customFormat="false" ht="25.5" hidden="false" customHeight="true" outlineLevel="0" collapsed="false">
      <c r="A25" s="30"/>
      <c r="B25" s="31"/>
      <c r="C25" s="10"/>
      <c r="D25" s="32" t="str">
        <f aca="false">IF(OR(B25="",B25=0),"",ROUND(B$6/B25,0))</f>
        <v/>
      </c>
      <c r="E25" s="32" t="str">
        <f aca="false">IF(D25="","",ROUND(D25*B$7,1))</f>
        <v/>
      </c>
      <c r="F25" s="32" t="str">
        <f aca="false">IF(E25="","",ROUND(E25*B$8,1))</f>
        <v/>
      </c>
      <c r="G25" s="33" t="str">
        <f aca="false">IF(F25="","",ROUND(F25*B$9,0))</f>
        <v/>
      </c>
    </row>
    <row r="26" customFormat="false" ht="25.5" hidden="false" customHeight="true" outlineLevel="0" collapsed="false">
      <c r="A26" s="34"/>
      <c r="B26" s="35"/>
      <c r="C26" s="36"/>
      <c r="D26" s="37" t="str">
        <f aca="false">IF(OR(B26="",B26=0),"",ROUND(B$6/B26,0))</f>
        <v/>
      </c>
      <c r="E26" s="37" t="str">
        <f aca="false">IF(D26="","",ROUND(D26*B$7,1))</f>
        <v/>
      </c>
      <c r="F26" s="37" t="str">
        <f aca="false">IF(E26="","",ROUND(E26*B$8,1))</f>
        <v/>
      </c>
      <c r="G26" s="38" t="str">
        <f aca="false">IF(F26="","",ROUND(F26*B$9,0))</f>
        <v/>
      </c>
    </row>
    <row r="27" customFormat="false" ht="25.5" hidden="false" customHeight="true" outlineLevel="0" collapsed="false">
      <c r="A27" s="30"/>
      <c r="B27" s="31"/>
      <c r="C27" s="10"/>
      <c r="D27" s="32" t="str">
        <f aca="false">IF(OR(B27="",B27=0),"",ROUND(B$6/B27,0))</f>
        <v/>
      </c>
      <c r="E27" s="32" t="str">
        <f aca="false">IF(D27="","",ROUND(D27*B$7,1))</f>
        <v/>
      </c>
      <c r="F27" s="32" t="str">
        <f aca="false">IF(E27="","",ROUND(E27*B$8,1))</f>
        <v/>
      </c>
      <c r="G27" s="33" t="str">
        <f aca="false">IF(F27="","",ROUND(F27*B$9,0))</f>
        <v/>
      </c>
    </row>
    <row r="29" customFormat="false" ht="7.5" hidden="false" customHeight="true" outlineLevel="0" collapsed="false"/>
    <row r="30" customFormat="false" ht="25.5" hidden="false" customHeight="true" outlineLevel="0" collapsed="false">
      <c r="A30" s="26" t="s">
        <v>98</v>
      </c>
      <c r="B30" s="26"/>
      <c r="C30" s="26"/>
      <c r="D30" s="26"/>
      <c r="E30" s="26"/>
      <c r="F30" s="26"/>
      <c r="G30" s="26"/>
    </row>
    <row r="31" customFormat="false" ht="27.75" hidden="false" customHeight="true" outlineLevel="0" collapsed="false">
      <c r="A31" s="27" t="s">
        <v>99</v>
      </c>
      <c r="B31" s="39" t="n">
        <f aca="false">B6</f>
        <v>600</v>
      </c>
    </row>
    <row r="32" customFormat="false" ht="27.75" hidden="false" customHeight="true" outlineLevel="0" collapsed="false">
      <c r="A32" s="27" t="s">
        <v>100</v>
      </c>
      <c r="B32" s="39" t="n">
        <f aca="false">MAX(G13:G27)</f>
        <v>5850</v>
      </c>
    </row>
    <row r="33" customFormat="false" ht="27.75" hidden="false" customHeight="true" outlineLevel="0" collapsed="false">
      <c r="A33" s="27" t="s">
        <v>101</v>
      </c>
      <c r="B33" s="39" t="n">
        <f aca="false">MIN(G13:G27)</f>
        <v>1500</v>
      </c>
    </row>
    <row r="34" customFormat="false" ht="27.75" hidden="false" customHeight="true" outlineLevel="0" collapsed="false">
      <c r="A34" s="27" t="s">
        <v>102</v>
      </c>
      <c r="B34" s="40" t="n">
        <f aca="false">IF(B6=0,"-",(B32-B6)/B6)</f>
        <v>8.75</v>
      </c>
    </row>
    <row r="35" customFormat="false" ht="27.75" hidden="false" customHeight="true" outlineLevel="0" collapsed="false">
      <c r="A35" s="27" t="s">
        <v>103</v>
      </c>
      <c r="B35" s="40" t="n">
        <f aca="false">IF(B6=0,"-",(B33-B6)/B6)</f>
        <v>1.5</v>
      </c>
    </row>
    <row r="37" customFormat="false" ht="15" hidden="false" customHeight="false" outlineLevel="0" collapsed="false">
      <c r="A37" s="25" t="s">
        <v>104</v>
      </c>
      <c r="B37" s="25"/>
      <c r="C37" s="25"/>
      <c r="D37" s="25"/>
      <c r="E37" s="25"/>
      <c r="F37" s="25"/>
      <c r="G37" s="25"/>
    </row>
  </sheetData>
  <mergeCells count="10">
    <mergeCell ref="A2:G2"/>
    <mergeCell ref="A3:G3"/>
    <mergeCell ref="A5:B5"/>
    <mergeCell ref="C6:D6"/>
    <mergeCell ref="C7:D7"/>
    <mergeCell ref="C8:D8"/>
    <mergeCell ref="C9:D9"/>
    <mergeCell ref="A11:G11"/>
    <mergeCell ref="A30:G30"/>
    <mergeCell ref="A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3300"/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48"/>
    <col collapsed="false" customWidth="true" hidden="false" outlineLevel="0" max="6" min="4" style="0" width="14"/>
  </cols>
  <sheetData>
    <row r="1" customFormat="false" ht="7.5" hidden="false" customHeight="true" outlineLevel="0" collapsed="false"/>
    <row r="2" customFormat="false" ht="30" hidden="false" customHeight="true" outlineLevel="0" collapsed="false">
      <c r="A2" s="1" t="s">
        <v>105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2" t="s">
        <v>106</v>
      </c>
      <c r="B3" s="2"/>
      <c r="C3" s="2"/>
      <c r="D3" s="2"/>
      <c r="E3" s="2"/>
      <c r="F3" s="2"/>
    </row>
    <row r="4" customFormat="false" ht="7.5" hidden="false" customHeight="true" outlineLevel="0" collapsed="false"/>
    <row r="5" customFormat="false" ht="15" hidden="false" customHeight="false" outlineLevel="0" collapsed="false">
      <c r="A5" s="6" t="s">
        <v>12</v>
      </c>
      <c r="B5" s="6" t="s">
        <v>107</v>
      </c>
      <c r="C5" s="6" t="s">
        <v>108</v>
      </c>
      <c r="D5" s="6" t="s">
        <v>109</v>
      </c>
      <c r="E5" s="6" t="s">
        <v>110</v>
      </c>
      <c r="F5" s="6" t="s">
        <v>15</v>
      </c>
    </row>
    <row r="6" customFormat="false" ht="30" hidden="false" customHeight="true" outlineLevel="0" collapsed="false">
      <c r="A6" s="41" t="s">
        <v>111</v>
      </c>
      <c r="B6" s="41"/>
      <c r="C6" s="41"/>
      <c r="D6" s="41"/>
      <c r="E6" s="41"/>
      <c r="F6" s="41"/>
    </row>
    <row r="7" customFormat="false" ht="49.5" hidden="false" customHeight="true" outlineLevel="0" collapsed="false">
      <c r="A7" s="8" t="n">
        <v>1</v>
      </c>
      <c r="B7" s="9" t="s">
        <v>112</v>
      </c>
      <c r="C7" s="42" t="s">
        <v>113</v>
      </c>
      <c r="D7" s="4"/>
      <c r="E7" s="4"/>
      <c r="F7" s="4"/>
    </row>
    <row r="8" customFormat="false" ht="49.5" hidden="false" customHeight="true" outlineLevel="0" collapsed="false">
      <c r="A8" s="13" t="n">
        <v>2</v>
      </c>
      <c r="B8" s="14" t="s">
        <v>114</v>
      </c>
      <c r="C8" s="43" t="s">
        <v>115</v>
      </c>
      <c r="D8" s="4"/>
      <c r="E8" s="4"/>
      <c r="F8" s="4"/>
    </row>
    <row r="9" customFormat="false" ht="49.5" hidden="false" customHeight="true" outlineLevel="0" collapsed="false">
      <c r="A9" s="8" t="n">
        <v>3</v>
      </c>
      <c r="B9" s="9" t="s">
        <v>116</v>
      </c>
      <c r="C9" s="42" t="s">
        <v>117</v>
      </c>
      <c r="D9" s="4"/>
      <c r="E9" s="4"/>
      <c r="F9" s="4"/>
    </row>
    <row r="10" customFormat="false" ht="49.5" hidden="false" customHeight="true" outlineLevel="0" collapsed="false">
      <c r="A10" s="13" t="n">
        <v>4</v>
      </c>
      <c r="B10" s="14" t="s">
        <v>118</v>
      </c>
      <c r="C10" s="43" t="s">
        <v>119</v>
      </c>
      <c r="D10" s="4"/>
      <c r="E10" s="4"/>
      <c r="F10" s="4"/>
    </row>
    <row r="11" customFormat="false" ht="49.5" hidden="false" customHeight="true" outlineLevel="0" collapsed="false">
      <c r="A11" s="8" t="n">
        <v>5</v>
      </c>
      <c r="B11" s="9" t="s">
        <v>120</v>
      </c>
      <c r="C11" s="42" t="s">
        <v>121</v>
      </c>
      <c r="D11" s="4"/>
      <c r="E11" s="4"/>
      <c r="F11" s="4"/>
    </row>
    <row r="12" customFormat="false" ht="49.5" hidden="false" customHeight="true" outlineLevel="0" collapsed="false">
      <c r="A12" s="13" t="n">
        <v>6</v>
      </c>
      <c r="B12" s="14" t="s">
        <v>122</v>
      </c>
      <c r="C12" s="43" t="s">
        <v>123</v>
      </c>
      <c r="D12" s="4"/>
      <c r="E12" s="4"/>
      <c r="F12" s="4"/>
    </row>
    <row r="13" customFormat="false" ht="49.5" hidden="false" customHeight="true" outlineLevel="0" collapsed="false">
      <c r="A13" s="8" t="n">
        <v>7</v>
      </c>
      <c r="B13" s="9" t="s">
        <v>124</v>
      </c>
      <c r="C13" s="42" t="s">
        <v>125</v>
      </c>
      <c r="D13" s="4"/>
      <c r="E13" s="4"/>
      <c r="F13" s="4"/>
    </row>
    <row r="14" customFormat="false" ht="49.5" hidden="false" customHeight="true" outlineLevel="0" collapsed="false">
      <c r="A14" s="13" t="n">
        <v>8</v>
      </c>
      <c r="B14" s="14" t="s">
        <v>126</v>
      </c>
      <c r="C14" s="43" t="s">
        <v>127</v>
      </c>
      <c r="D14" s="4"/>
      <c r="E14" s="4"/>
      <c r="F14" s="4"/>
    </row>
    <row r="15" customFormat="false" ht="30" hidden="false" customHeight="true" outlineLevel="0" collapsed="false">
      <c r="A15" s="7" t="s">
        <v>128</v>
      </c>
      <c r="B15" s="7"/>
      <c r="C15" s="7"/>
      <c r="D15" s="7"/>
      <c r="E15" s="7"/>
      <c r="F15" s="7"/>
    </row>
    <row r="16" customFormat="false" ht="49.5" hidden="false" customHeight="true" outlineLevel="0" collapsed="false">
      <c r="A16" s="8" t="n">
        <v>9</v>
      </c>
      <c r="B16" s="9" t="s">
        <v>129</v>
      </c>
      <c r="C16" s="42" t="s">
        <v>130</v>
      </c>
      <c r="D16" s="4"/>
      <c r="E16" s="4"/>
      <c r="F16" s="4"/>
    </row>
    <row r="17" customFormat="false" ht="49.5" hidden="false" customHeight="true" outlineLevel="0" collapsed="false">
      <c r="A17" s="13" t="n">
        <v>10</v>
      </c>
      <c r="B17" s="14" t="s">
        <v>131</v>
      </c>
      <c r="C17" s="43" t="s">
        <v>132</v>
      </c>
      <c r="D17" s="4"/>
      <c r="E17" s="4"/>
      <c r="F17" s="4"/>
    </row>
    <row r="18" customFormat="false" ht="49.5" hidden="false" customHeight="true" outlineLevel="0" collapsed="false">
      <c r="A18" s="8" t="n">
        <v>11</v>
      </c>
      <c r="B18" s="9" t="s">
        <v>133</v>
      </c>
      <c r="C18" s="42" t="s">
        <v>134</v>
      </c>
      <c r="D18" s="4"/>
      <c r="E18" s="4"/>
      <c r="F18" s="4"/>
    </row>
    <row r="19" customFormat="false" ht="49.5" hidden="false" customHeight="true" outlineLevel="0" collapsed="false">
      <c r="A19" s="13" t="n">
        <v>12</v>
      </c>
      <c r="B19" s="14" t="s">
        <v>135</v>
      </c>
      <c r="C19" s="43" t="s">
        <v>136</v>
      </c>
      <c r="D19" s="4"/>
      <c r="E19" s="4"/>
      <c r="F19" s="4"/>
    </row>
    <row r="20" customFormat="false" ht="49.5" hidden="false" customHeight="true" outlineLevel="0" collapsed="false">
      <c r="A20" s="8" t="n">
        <v>13</v>
      </c>
      <c r="B20" s="9" t="s">
        <v>137</v>
      </c>
      <c r="C20" s="42" t="s">
        <v>138</v>
      </c>
      <c r="D20" s="4"/>
      <c r="E20" s="4"/>
      <c r="F20" s="4"/>
    </row>
    <row r="21" customFormat="false" ht="49.5" hidden="false" customHeight="true" outlineLevel="0" collapsed="false">
      <c r="A21" s="13" t="n">
        <v>14</v>
      </c>
      <c r="B21" s="14" t="s">
        <v>139</v>
      </c>
      <c r="C21" s="43" t="s">
        <v>140</v>
      </c>
      <c r="D21" s="4"/>
      <c r="E21" s="4"/>
      <c r="F21" s="4"/>
    </row>
    <row r="22" customFormat="false" ht="30" hidden="false" customHeight="true" outlineLevel="0" collapsed="false">
      <c r="A22" s="16" t="s">
        <v>141</v>
      </c>
      <c r="B22" s="16"/>
      <c r="C22" s="16"/>
      <c r="D22" s="16"/>
      <c r="E22" s="16"/>
      <c r="F22" s="16"/>
    </row>
    <row r="23" customFormat="false" ht="49.5" hidden="false" customHeight="true" outlineLevel="0" collapsed="false">
      <c r="A23" s="8" t="n">
        <v>15</v>
      </c>
      <c r="B23" s="9" t="s">
        <v>142</v>
      </c>
      <c r="C23" s="42" t="s">
        <v>143</v>
      </c>
      <c r="D23" s="4"/>
      <c r="E23" s="4"/>
      <c r="F23" s="4"/>
    </row>
    <row r="24" customFormat="false" ht="49.5" hidden="false" customHeight="true" outlineLevel="0" collapsed="false">
      <c r="A24" s="13" t="n">
        <v>16</v>
      </c>
      <c r="B24" s="14" t="s">
        <v>144</v>
      </c>
      <c r="C24" s="43" t="s">
        <v>145</v>
      </c>
      <c r="D24" s="4"/>
      <c r="E24" s="4"/>
      <c r="F24" s="4"/>
    </row>
    <row r="25" customFormat="false" ht="49.5" hidden="false" customHeight="true" outlineLevel="0" collapsed="false">
      <c r="A25" s="8" t="n">
        <v>17</v>
      </c>
      <c r="B25" s="9" t="s">
        <v>146</v>
      </c>
      <c r="C25" s="42" t="s">
        <v>147</v>
      </c>
      <c r="D25" s="4"/>
      <c r="E25" s="4"/>
      <c r="F25" s="4"/>
    </row>
    <row r="26" customFormat="false" ht="49.5" hidden="false" customHeight="true" outlineLevel="0" collapsed="false">
      <c r="A26" s="13" t="n">
        <v>18</v>
      </c>
      <c r="B26" s="14" t="s">
        <v>148</v>
      </c>
      <c r="C26" s="43" t="s">
        <v>149</v>
      </c>
      <c r="D26" s="4"/>
      <c r="E26" s="4"/>
      <c r="F26" s="4"/>
    </row>
    <row r="27" customFormat="false" ht="49.5" hidden="false" customHeight="true" outlineLevel="0" collapsed="false">
      <c r="A27" s="8" t="n">
        <v>19</v>
      </c>
      <c r="B27" s="9" t="s">
        <v>150</v>
      </c>
      <c r="C27" s="42" t="s">
        <v>151</v>
      </c>
      <c r="D27" s="4"/>
      <c r="E27" s="4"/>
      <c r="F27" s="4"/>
    </row>
    <row r="28" customFormat="false" ht="49.5" hidden="false" customHeight="true" outlineLevel="0" collapsed="false">
      <c r="A28" s="13" t="n">
        <v>20</v>
      </c>
      <c r="B28" s="14" t="s">
        <v>152</v>
      </c>
      <c r="C28" s="43" t="s">
        <v>153</v>
      </c>
      <c r="D28" s="4"/>
      <c r="E28" s="4"/>
      <c r="F28" s="4"/>
    </row>
    <row r="29" customFormat="false" ht="49.5" hidden="false" customHeight="true" outlineLevel="0" collapsed="false">
      <c r="A29" s="8" t="n">
        <v>21</v>
      </c>
      <c r="B29" s="9" t="s">
        <v>154</v>
      </c>
      <c r="C29" s="42" t="s">
        <v>155</v>
      </c>
      <c r="D29" s="4"/>
      <c r="E29" s="4"/>
      <c r="F29" s="4"/>
    </row>
  </sheetData>
  <mergeCells count="5">
    <mergeCell ref="A2:F2"/>
    <mergeCell ref="A3:F3"/>
    <mergeCell ref="A6:F6"/>
    <mergeCell ref="A15:F15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2D8E"/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3"/>
  </cols>
  <sheetData>
    <row r="1" customFormat="false" ht="7.5" hidden="false" customHeight="true" outlineLevel="0" collapsed="false"/>
    <row r="2" customFormat="false" ht="30" hidden="false" customHeight="true" outlineLevel="0" collapsed="false">
      <c r="A2" s="1" t="s">
        <v>156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A3" s="2" t="s">
        <v>157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7.5" hidden="false" customHeight="true" outlineLevel="0" collapsed="false"/>
    <row r="5" customFormat="false" ht="27.75" hidden="false" customHeight="true" outlineLevel="0" collapsed="false">
      <c r="A5" s="6" t="s">
        <v>158</v>
      </c>
      <c r="B5" s="6" t="s">
        <v>159</v>
      </c>
      <c r="C5" s="6" t="s">
        <v>160</v>
      </c>
      <c r="D5" s="6" t="s">
        <v>161</v>
      </c>
      <c r="E5" s="6" t="s">
        <v>162</v>
      </c>
      <c r="F5" s="6" t="s">
        <v>163</v>
      </c>
      <c r="G5" s="6" t="s">
        <v>164</v>
      </c>
      <c r="H5" s="6" t="s">
        <v>165</v>
      </c>
      <c r="I5" s="6" t="s">
        <v>166</v>
      </c>
      <c r="J5" s="6" t="s">
        <v>167</v>
      </c>
      <c r="K5" s="6" t="s">
        <v>168</v>
      </c>
      <c r="L5" s="6" t="s">
        <v>169</v>
      </c>
      <c r="M5" s="6" t="s">
        <v>170</v>
      </c>
    </row>
    <row r="6" customFormat="false" ht="25.5" hidden="false" customHeight="true" outlineLevel="0" collapsed="false">
      <c r="A6" s="27" t="s">
        <v>171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</row>
    <row r="7" customFormat="false" ht="25.5" hidden="false" customHeight="true" outlineLevel="0" collapsed="false">
      <c r="A7" s="27" t="s">
        <v>172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</row>
    <row r="8" customFormat="false" ht="25.5" hidden="false" customHeight="true" outlineLevel="0" collapsed="false">
      <c r="A8" s="27" t="s">
        <v>173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</row>
    <row r="9" customFormat="false" ht="25.5" hidden="false" customHeight="true" outlineLevel="0" collapsed="false">
      <c r="A9" s="27" t="s">
        <v>174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</row>
    <row r="10" customFormat="false" ht="25.5" hidden="false" customHeight="true" outlineLevel="0" collapsed="false">
      <c r="A10" s="27" t="s">
        <v>175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</row>
    <row r="11" customFormat="false" ht="25.5" hidden="false" customHeight="true" outlineLevel="0" collapsed="false">
      <c r="A11" s="27" t="s">
        <v>176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</row>
    <row r="12" customFormat="false" ht="25.5" hidden="false" customHeight="true" outlineLevel="0" collapsed="false">
      <c r="A12" s="27" t="s">
        <v>177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</row>
    <row r="13" customFormat="false" ht="25.5" hidden="false" customHeight="true" outlineLevel="0" collapsed="false">
      <c r="A13" s="27" t="s">
        <v>178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</row>
    <row r="14" customFormat="false" ht="25.5" hidden="false" customHeight="true" outlineLevel="0" collapsed="false">
      <c r="A14" s="27" t="s">
        <v>179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</row>
    <row r="15" customFormat="false" ht="25.5" hidden="false" customHeight="true" outlineLevel="0" collapsed="false">
      <c r="A15" s="27" t="s">
        <v>180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</row>
    <row r="16" customFormat="false" ht="27.75" hidden="false" customHeight="true" outlineLevel="0" collapsed="false">
      <c r="A16" s="45" t="s">
        <v>181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</row>
    <row r="17" customFormat="false" ht="25.5" hidden="false" customHeight="true" outlineLevel="0" collapsed="false">
      <c r="A17" s="27" t="s">
        <v>182</v>
      </c>
      <c r="B17" s="46" t="str">
        <f aca="false">IF(B7=0,"-",B8/B7)</f>
        <v>-</v>
      </c>
      <c r="C17" s="46" t="str">
        <f aca="false">IF(C7=0,"-",C8/C7)</f>
        <v>-</v>
      </c>
      <c r="D17" s="46" t="str">
        <f aca="false">IF(D7=0,"-",D8/D7)</f>
        <v>-</v>
      </c>
      <c r="E17" s="46" t="str">
        <f aca="false">IF(E7=0,"-",E8/E7)</f>
        <v>-</v>
      </c>
      <c r="F17" s="46" t="str">
        <f aca="false">IF(F7=0,"-",F8/F7)</f>
        <v>-</v>
      </c>
      <c r="G17" s="46" t="str">
        <f aca="false">IF(G7=0,"-",G8/G7)</f>
        <v>-</v>
      </c>
      <c r="H17" s="46" t="str">
        <f aca="false">IF(H7=0,"-",H8/H7)</f>
        <v>-</v>
      </c>
      <c r="I17" s="46" t="str">
        <f aca="false">IF(I7=0,"-",I8/I7)</f>
        <v>-</v>
      </c>
      <c r="J17" s="46" t="str">
        <f aca="false">IF(J7=0,"-",J8/J7)</f>
        <v>-</v>
      </c>
      <c r="K17" s="46" t="str">
        <f aca="false">IF(K7=0,"-",K8/K7)</f>
        <v>-</v>
      </c>
      <c r="L17" s="46" t="str">
        <f aca="false">IF(L7=0,"-",L8/L7)</f>
        <v>-</v>
      </c>
      <c r="M17" s="46" t="str">
        <f aca="false">IF(M7=0,"-",M8/M7)</f>
        <v>-</v>
      </c>
    </row>
    <row r="18" customFormat="false" ht="25.5" hidden="false" customHeight="true" outlineLevel="0" collapsed="false">
      <c r="A18" s="27" t="s">
        <v>183</v>
      </c>
      <c r="B18" s="47" t="str">
        <f aca="false">IF(B8=0,"-",B6/B8)</f>
        <v>-</v>
      </c>
      <c r="C18" s="47" t="str">
        <f aca="false">IF(C8=0,"-",C6/C8)</f>
        <v>-</v>
      </c>
      <c r="D18" s="47" t="str">
        <f aca="false">IF(D8=0,"-",D6/D8)</f>
        <v>-</v>
      </c>
      <c r="E18" s="47" t="str">
        <f aca="false">IF(E8=0,"-",E6/E8)</f>
        <v>-</v>
      </c>
      <c r="F18" s="47" t="str">
        <f aca="false">IF(F8=0,"-",F6/F8)</f>
        <v>-</v>
      </c>
      <c r="G18" s="47" t="str">
        <f aca="false">IF(G8=0,"-",G6/G8)</f>
        <v>-</v>
      </c>
      <c r="H18" s="47" t="str">
        <f aca="false">IF(H8=0,"-",H6/H8)</f>
        <v>-</v>
      </c>
      <c r="I18" s="47" t="str">
        <f aca="false">IF(I8=0,"-",I6/I8)</f>
        <v>-</v>
      </c>
      <c r="J18" s="47" t="str">
        <f aca="false">IF(J8=0,"-",J6/J8)</f>
        <v>-</v>
      </c>
      <c r="K18" s="47" t="str">
        <f aca="false">IF(K8=0,"-",K6/K8)</f>
        <v>-</v>
      </c>
      <c r="L18" s="47" t="str">
        <f aca="false">IF(L8=0,"-",L6/L8)</f>
        <v>-</v>
      </c>
      <c r="M18" s="47" t="str">
        <f aca="false">IF(M8=0,"-",M6/M8)</f>
        <v>-</v>
      </c>
    </row>
    <row r="19" customFormat="false" ht="25.5" hidden="false" customHeight="true" outlineLevel="0" collapsed="false">
      <c r="A19" s="27" t="s">
        <v>184</v>
      </c>
      <c r="B19" s="47" t="str">
        <f aca="false">IF(B11=0,"-",B6/B11)</f>
        <v>-</v>
      </c>
      <c r="C19" s="47" t="str">
        <f aca="false">IF(C11=0,"-",C6/C11)</f>
        <v>-</v>
      </c>
      <c r="D19" s="47" t="str">
        <f aca="false">IF(D11=0,"-",D6/D11)</f>
        <v>-</v>
      </c>
      <c r="E19" s="47" t="str">
        <f aca="false">IF(E11=0,"-",E6/E11)</f>
        <v>-</v>
      </c>
      <c r="F19" s="47" t="str">
        <f aca="false">IF(F11=0,"-",F6/F11)</f>
        <v>-</v>
      </c>
      <c r="G19" s="47" t="str">
        <f aca="false">IF(G11=0,"-",G6/G11)</f>
        <v>-</v>
      </c>
      <c r="H19" s="47" t="str">
        <f aca="false">IF(H11=0,"-",H6/H11)</f>
        <v>-</v>
      </c>
      <c r="I19" s="47" t="str">
        <f aca="false">IF(I11=0,"-",I6/I11)</f>
        <v>-</v>
      </c>
      <c r="J19" s="47" t="str">
        <f aca="false">IF(J11=0,"-",J6/J11)</f>
        <v>-</v>
      </c>
      <c r="K19" s="47" t="str">
        <f aca="false">IF(K11=0,"-",K6/K11)</f>
        <v>-</v>
      </c>
      <c r="L19" s="47" t="str">
        <f aca="false">IF(L11=0,"-",L6/L11)</f>
        <v>-</v>
      </c>
      <c r="M19" s="47" t="str">
        <f aca="false">IF(M11=0,"-",M6/M11)</f>
        <v>-</v>
      </c>
    </row>
    <row r="20" customFormat="false" ht="25.5" hidden="false" customHeight="true" outlineLevel="0" collapsed="false">
      <c r="A20" s="27" t="s">
        <v>185</v>
      </c>
      <c r="B20" s="47" t="str">
        <f aca="false">IF(B12=0,"-",B6/B12)</f>
        <v>-</v>
      </c>
      <c r="C20" s="47" t="str">
        <f aca="false">IF(C12=0,"-",C6/C12)</f>
        <v>-</v>
      </c>
      <c r="D20" s="47" t="str">
        <f aca="false">IF(D12=0,"-",D6/D12)</f>
        <v>-</v>
      </c>
      <c r="E20" s="47" t="str">
        <f aca="false">IF(E12=0,"-",E6/E12)</f>
        <v>-</v>
      </c>
      <c r="F20" s="47" t="str">
        <f aca="false">IF(F12=0,"-",F6/F12)</f>
        <v>-</v>
      </c>
      <c r="G20" s="47" t="str">
        <f aca="false">IF(G12=0,"-",G6/G12)</f>
        <v>-</v>
      </c>
      <c r="H20" s="47" t="str">
        <f aca="false">IF(H12=0,"-",H6/H12)</f>
        <v>-</v>
      </c>
      <c r="I20" s="47" t="str">
        <f aca="false">IF(I12=0,"-",I6/I12)</f>
        <v>-</v>
      </c>
      <c r="J20" s="47" t="str">
        <f aca="false">IF(J12=0,"-",J6/J12)</f>
        <v>-</v>
      </c>
      <c r="K20" s="47" t="str">
        <f aca="false">IF(K12=0,"-",K6/K12)</f>
        <v>-</v>
      </c>
      <c r="L20" s="47" t="str">
        <f aca="false">IF(L12=0,"-",L6/L12)</f>
        <v>-</v>
      </c>
      <c r="M20" s="47" t="str">
        <f aca="false">IF(M12=0,"-",M6/M12)</f>
        <v>-</v>
      </c>
    </row>
    <row r="21" customFormat="false" ht="25.5" hidden="false" customHeight="true" outlineLevel="0" collapsed="false">
      <c r="A21" s="27" t="s">
        <v>186</v>
      </c>
      <c r="B21" s="46" t="str">
        <f aca="false">IF(B8=0,"-",B11/B8)</f>
        <v>-</v>
      </c>
      <c r="C21" s="46" t="str">
        <f aca="false">IF(C8=0,"-",C11/C8)</f>
        <v>-</v>
      </c>
      <c r="D21" s="46" t="str">
        <f aca="false">IF(D8=0,"-",D11/D8)</f>
        <v>-</v>
      </c>
      <c r="E21" s="46" t="str">
        <f aca="false">IF(E8=0,"-",E11/E8)</f>
        <v>-</v>
      </c>
      <c r="F21" s="46" t="str">
        <f aca="false">IF(F8=0,"-",F11/F8)</f>
        <v>-</v>
      </c>
      <c r="G21" s="46" t="str">
        <f aca="false">IF(G8=0,"-",G11/G8)</f>
        <v>-</v>
      </c>
      <c r="H21" s="46" t="str">
        <f aca="false">IF(H8=0,"-",H11/H8)</f>
        <v>-</v>
      </c>
      <c r="I21" s="46" t="str">
        <f aca="false">IF(I8=0,"-",I11/I8)</f>
        <v>-</v>
      </c>
      <c r="J21" s="46" t="str">
        <f aca="false">IF(J8=0,"-",J11/J8)</f>
        <v>-</v>
      </c>
      <c r="K21" s="46" t="str">
        <f aca="false">IF(K8=0,"-",K11/K8)</f>
        <v>-</v>
      </c>
      <c r="L21" s="46" t="str">
        <f aca="false">IF(L8=0,"-",L11/L8)</f>
        <v>-</v>
      </c>
      <c r="M21" s="46" t="str">
        <f aca="false">IF(M8=0,"-",M11/M8)</f>
        <v>-</v>
      </c>
    </row>
    <row r="22" customFormat="false" ht="25.5" hidden="false" customHeight="true" outlineLevel="0" collapsed="false">
      <c r="A22" s="27" t="s">
        <v>187</v>
      </c>
      <c r="B22" s="46" t="str">
        <f aca="false">IF(B11=0,"-",B12/B11)</f>
        <v>-</v>
      </c>
      <c r="C22" s="46" t="str">
        <f aca="false">IF(C11=0,"-",C12/C11)</f>
        <v>-</v>
      </c>
      <c r="D22" s="46" t="str">
        <f aca="false">IF(D11=0,"-",D12/D11)</f>
        <v>-</v>
      </c>
      <c r="E22" s="46" t="str">
        <f aca="false">IF(E11=0,"-",E12/E11)</f>
        <v>-</v>
      </c>
      <c r="F22" s="46" t="str">
        <f aca="false">IF(F11=0,"-",F12/F11)</f>
        <v>-</v>
      </c>
      <c r="G22" s="46" t="str">
        <f aca="false">IF(G11=0,"-",G12/G11)</f>
        <v>-</v>
      </c>
      <c r="H22" s="46" t="str">
        <f aca="false">IF(H11=0,"-",H12/H11)</f>
        <v>-</v>
      </c>
      <c r="I22" s="46" t="str">
        <f aca="false">IF(I11=0,"-",I12/I11)</f>
        <v>-</v>
      </c>
      <c r="J22" s="46" t="str">
        <f aca="false">IF(J11=0,"-",J12/J11)</f>
        <v>-</v>
      </c>
      <c r="K22" s="46" t="str">
        <f aca="false">IF(K11=0,"-",K12/K11)</f>
        <v>-</v>
      </c>
      <c r="L22" s="46" t="str">
        <f aca="false">IF(L11=0,"-",L12/L11)</f>
        <v>-</v>
      </c>
      <c r="M22" s="46" t="str">
        <f aca="false">IF(M11=0,"-",M12/M11)</f>
        <v>-</v>
      </c>
    </row>
    <row r="23" customFormat="false" ht="25.5" hidden="false" customHeight="true" outlineLevel="0" collapsed="false">
      <c r="A23" s="27" t="s">
        <v>188</v>
      </c>
      <c r="B23" s="48" t="str">
        <f aca="false">IF(B6=0,"-",B13/B6)</f>
        <v>-</v>
      </c>
      <c r="C23" s="48" t="str">
        <f aca="false">IF(C6=0,"-",C13/C6)</f>
        <v>-</v>
      </c>
      <c r="D23" s="48" t="str">
        <f aca="false">IF(D6=0,"-",D13/D6)</f>
        <v>-</v>
      </c>
      <c r="E23" s="48" t="str">
        <f aca="false">IF(E6=0,"-",E13/E6)</f>
        <v>-</v>
      </c>
      <c r="F23" s="48" t="str">
        <f aca="false">IF(F6=0,"-",F13/F6)</f>
        <v>-</v>
      </c>
      <c r="G23" s="48" t="str">
        <f aca="false">IF(G6=0,"-",G13/G6)</f>
        <v>-</v>
      </c>
      <c r="H23" s="48" t="str">
        <f aca="false">IF(H6=0,"-",H13/H6)</f>
        <v>-</v>
      </c>
      <c r="I23" s="48" t="str">
        <f aca="false">IF(I6=0,"-",I13/I6)</f>
        <v>-</v>
      </c>
      <c r="J23" s="48" t="str">
        <f aca="false">IF(J6=0,"-",J13/J6)</f>
        <v>-</v>
      </c>
      <c r="K23" s="48" t="str">
        <f aca="false">IF(K6=0,"-",K13/K6)</f>
        <v>-</v>
      </c>
      <c r="L23" s="48" t="str">
        <f aca="false">IF(L6=0,"-",L13/L6)</f>
        <v>-</v>
      </c>
      <c r="M23" s="48" t="str">
        <f aca="false">IF(M6=0,"-",M13/M6)</f>
        <v>-</v>
      </c>
    </row>
    <row r="24" customFormat="false" ht="25.5" hidden="false" customHeight="true" outlineLevel="0" collapsed="false">
      <c r="A24" s="27" t="s">
        <v>189</v>
      </c>
      <c r="B24" s="49" t="str">
        <f aca="false">IF(B6=0,"-",(B13-B6)/B6)</f>
        <v>-</v>
      </c>
      <c r="C24" s="49" t="str">
        <f aca="false">IF(C6=0,"-",(C13-C6)/C6)</f>
        <v>-</v>
      </c>
      <c r="D24" s="49" t="str">
        <f aca="false">IF(D6=0,"-",(D13-D6)/D6)</f>
        <v>-</v>
      </c>
      <c r="E24" s="49" t="str">
        <f aca="false">IF(E6=0,"-",(E13-E6)/E6)</f>
        <v>-</v>
      </c>
      <c r="F24" s="49" t="str">
        <f aca="false">IF(F6=0,"-",(F13-F6)/F6)</f>
        <v>-</v>
      </c>
      <c r="G24" s="49" t="str">
        <f aca="false">IF(G6=0,"-",(G13-G6)/G6)</f>
        <v>-</v>
      </c>
      <c r="H24" s="49" t="str">
        <f aca="false">IF(H6=0,"-",(H13-H6)/H6)</f>
        <v>-</v>
      </c>
      <c r="I24" s="49" t="str">
        <f aca="false">IF(I6=0,"-",(I13-I6)/I6)</f>
        <v>-</v>
      </c>
      <c r="J24" s="49" t="str">
        <f aca="false">IF(J6=0,"-",(J13-J6)/J6)</f>
        <v>-</v>
      </c>
      <c r="K24" s="49" t="str">
        <f aca="false">IF(K6=0,"-",(K13-K6)/K6)</f>
        <v>-</v>
      </c>
      <c r="L24" s="49" t="str">
        <f aca="false">IF(L6=0,"-",(L13-L6)/L6)</f>
        <v>-</v>
      </c>
      <c r="M24" s="49" t="str">
        <f aca="false">IF(M6=0,"-",(M13-M6)/M6)</f>
        <v>-</v>
      </c>
    </row>
  </sheetData>
  <mergeCells count="3">
    <mergeCell ref="A2:M2"/>
    <mergeCell ref="A3:M3"/>
    <mergeCell ref="A16:M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38"/>
  </cols>
  <sheetData>
    <row r="1" customFormat="false" ht="7.5" hidden="false" customHeight="true" outlineLevel="0" collapsed="false"/>
    <row r="2" customFormat="false" ht="30" hidden="false" customHeight="true" outlineLevel="0" collapsed="false">
      <c r="A2" s="1" t="s">
        <v>190</v>
      </c>
      <c r="B2" s="1"/>
      <c r="C2" s="1"/>
      <c r="D2" s="1"/>
    </row>
    <row r="3" customFormat="false" ht="15" hidden="false" customHeight="false" outlineLevel="0" collapsed="false">
      <c r="A3" s="2" t="s">
        <v>191</v>
      </c>
      <c r="B3" s="2"/>
      <c r="C3" s="2"/>
      <c r="D3" s="2"/>
    </row>
    <row r="4" customFormat="false" ht="7.5" hidden="false" customHeight="true" outlineLevel="0" collapsed="false"/>
    <row r="5" customFormat="false" ht="31.5" hidden="false" customHeight="true" outlineLevel="0" collapsed="false">
      <c r="A5" s="6" t="s">
        <v>192</v>
      </c>
      <c r="B5" s="6" t="s">
        <v>193</v>
      </c>
      <c r="C5" s="6" t="s">
        <v>194</v>
      </c>
      <c r="D5" s="6" t="s">
        <v>195</v>
      </c>
    </row>
    <row r="6" customFormat="false" ht="27.75" hidden="false" customHeight="true" outlineLevel="0" collapsed="false">
      <c r="A6" s="50" t="s">
        <v>196</v>
      </c>
      <c r="B6" s="51" t="s">
        <v>197</v>
      </c>
      <c r="C6" s="52" t="s">
        <v>198</v>
      </c>
      <c r="D6" s="53" t="s">
        <v>199</v>
      </c>
    </row>
    <row r="7" customFormat="false" ht="48" hidden="false" customHeight="true" outlineLevel="0" collapsed="false">
      <c r="A7" s="9" t="s">
        <v>200</v>
      </c>
      <c r="B7" s="30" t="s">
        <v>201</v>
      </c>
      <c r="C7" s="30" t="s">
        <v>202</v>
      </c>
      <c r="D7" s="30" t="s">
        <v>203</v>
      </c>
    </row>
    <row r="8" customFormat="false" ht="48" hidden="false" customHeight="true" outlineLevel="0" collapsed="false">
      <c r="A8" s="14" t="s">
        <v>204</v>
      </c>
      <c r="B8" s="34" t="s">
        <v>205</v>
      </c>
      <c r="C8" s="34" t="s">
        <v>206</v>
      </c>
      <c r="D8" s="34" t="s">
        <v>207</v>
      </c>
    </row>
    <row r="9" customFormat="false" ht="48" hidden="false" customHeight="true" outlineLevel="0" collapsed="false">
      <c r="A9" s="9" t="s">
        <v>208</v>
      </c>
      <c r="B9" s="30" t="s">
        <v>209</v>
      </c>
      <c r="C9" s="30" t="s">
        <v>210</v>
      </c>
      <c r="D9" s="30" t="s">
        <v>211</v>
      </c>
    </row>
    <row r="10" customFormat="false" ht="48" hidden="false" customHeight="true" outlineLevel="0" collapsed="false">
      <c r="A10" s="14" t="s">
        <v>212</v>
      </c>
      <c r="B10" s="34" t="s">
        <v>213</v>
      </c>
      <c r="C10" s="34" t="s">
        <v>214</v>
      </c>
      <c r="D10" s="34" t="s">
        <v>215</v>
      </c>
    </row>
    <row r="11" customFormat="false" ht="48" hidden="false" customHeight="true" outlineLevel="0" collapsed="false">
      <c r="A11" s="9" t="s">
        <v>216</v>
      </c>
      <c r="B11" s="30" t="s">
        <v>217</v>
      </c>
      <c r="C11" s="30" t="s">
        <v>218</v>
      </c>
      <c r="D11" s="30" t="s">
        <v>219</v>
      </c>
    </row>
    <row r="12" customFormat="false" ht="48" hidden="false" customHeight="true" outlineLevel="0" collapsed="false">
      <c r="A12" s="14" t="s">
        <v>220</v>
      </c>
      <c r="B12" s="34" t="s">
        <v>221</v>
      </c>
      <c r="C12" s="34" t="s">
        <v>222</v>
      </c>
      <c r="D12" s="34" t="s">
        <v>223</v>
      </c>
    </row>
    <row r="13" customFormat="false" ht="48" hidden="false" customHeight="true" outlineLevel="0" collapsed="false">
      <c r="A13" s="9" t="s">
        <v>224</v>
      </c>
      <c r="B13" s="30" t="s">
        <v>225</v>
      </c>
      <c r="C13" s="30" t="s">
        <v>226</v>
      </c>
      <c r="D13" s="30" t="s">
        <v>227</v>
      </c>
    </row>
    <row r="14" customFormat="false" ht="48" hidden="false" customHeight="true" outlineLevel="0" collapsed="false">
      <c r="A14" s="14" t="s">
        <v>228</v>
      </c>
      <c r="B14" s="34" t="s">
        <v>229</v>
      </c>
      <c r="C14" s="34" t="s">
        <v>230</v>
      </c>
      <c r="D14" s="34" t="s">
        <v>231</v>
      </c>
    </row>
    <row r="15" customFormat="false" ht="48" hidden="false" customHeight="true" outlineLevel="0" collapsed="false">
      <c r="A15" s="9" t="s">
        <v>232</v>
      </c>
      <c r="B15" s="30" t="s">
        <v>233</v>
      </c>
      <c r="C15" s="30" t="s">
        <v>234</v>
      </c>
      <c r="D15" s="30" t="s">
        <v>235</v>
      </c>
    </row>
    <row r="16" customFormat="false" ht="48" hidden="false" customHeight="true" outlineLevel="0" collapsed="false">
      <c r="A16" s="14" t="s">
        <v>236</v>
      </c>
      <c r="B16" s="34" t="s">
        <v>237</v>
      </c>
      <c r="C16" s="34" t="s">
        <v>238</v>
      </c>
      <c r="D16" s="34" t="s">
        <v>239</v>
      </c>
    </row>
    <row r="17" customFormat="false" ht="48" hidden="false" customHeight="true" outlineLevel="0" collapsed="false">
      <c r="A17" s="9" t="s">
        <v>240</v>
      </c>
      <c r="B17" s="30" t="s">
        <v>241</v>
      </c>
      <c r="C17" s="30" t="s">
        <v>242</v>
      </c>
      <c r="D17" s="30" t="s">
        <v>243</v>
      </c>
    </row>
    <row r="18" customFormat="false" ht="48" hidden="false" customHeight="true" outlineLevel="0" collapsed="false">
      <c r="A18" s="14" t="s">
        <v>244</v>
      </c>
      <c r="B18" s="34" t="s">
        <v>245</v>
      </c>
      <c r="C18" s="34" t="s">
        <v>246</v>
      </c>
      <c r="D18" s="34" t="s">
        <v>247</v>
      </c>
    </row>
  </sheetData>
  <mergeCells count="2"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2026-02-09T11:24:22Z</dcterms:created>
  <dc:creator>openpyxl</dc:creator>
  <dc:description/>
  <dc:language>en-US</dc:language>
  <cp:lastModifiedBy/>
  <dcterms:modified xsi:type="dcterms:W3CDTF">2026-02-09T11:24:22Z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